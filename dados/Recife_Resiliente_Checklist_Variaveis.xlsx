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variáveis'!$A$4:$R$23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24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  <col width="22" customWidth="1" min="12" max="12"/>
    <col width="24" customWidth="1" min="13" max="13"/>
    <col width="34" customWidth="1" min="14" max="14"/>
    <col width="12" customWidth="1" min="15" max="15"/>
    <col width="12" customWidth="1" min="16" max="16"/>
    <col width="34" customWidth="1" min="17" max="17"/>
    <col width="30" customWidth="1" min="18" max="18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(O, P e Q):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Fonte de medição</t>
        </is>
      </c>
      <c r="F4" s="3" t="inlineStr">
        <is>
          <t>Tipo de nota</t>
        </is>
      </c>
      <c r="G4" s="3" t="inlineStr">
        <is>
          <t>Nota 1</t>
        </is>
      </c>
      <c r="H4" s="3" t="inlineStr">
        <is>
          <t>Nota 2</t>
        </is>
      </c>
      <c r="I4" s="3" t="inlineStr">
        <is>
          <t>Nota 3</t>
        </is>
      </c>
      <c r="J4" s="3" t="inlineStr">
        <is>
          <t>Nota 4</t>
        </is>
      </c>
      <c r="K4" s="3" t="inlineStr">
        <is>
          <t>Nota 5</t>
        </is>
      </c>
      <c r="L4" s="3" t="inlineStr">
        <is>
          <t>Origem da faixa</t>
        </is>
      </c>
      <c r="M4" s="3" t="inlineStr">
        <is>
          <t>Recomendação</t>
        </is>
      </c>
      <c r="N4" s="3" t="inlineStr">
        <is>
          <t>Fonte</t>
        </is>
      </c>
      <c r="O4" s="3" t="inlineStr">
        <is>
          <t>Fonte confirmada?</t>
        </is>
      </c>
      <c r="P4" s="3" t="inlineStr">
        <is>
          <t>Dado existe na fonte?</t>
        </is>
      </c>
      <c r="Q4" s="3" t="inlineStr">
        <is>
          <t>Observação</t>
        </is>
      </c>
      <c r="R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6" t="inlineStr"/>
      <c r="F5" s="7" t="inlineStr">
        <is>
          <t>Faixa fixa</t>
        </is>
      </c>
      <c r="G5" s="8" t="inlineStr">
        <is>
          <t>&lt; 1</t>
        </is>
      </c>
      <c r="H5" s="9" t="inlineStr">
        <is>
          <t>1–2</t>
        </is>
      </c>
      <c r="I5" s="10" t="inlineStr">
        <is>
          <t>3–4</t>
        </is>
      </c>
      <c r="J5" s="11" t="inlineStr">
        <is>
          <t>5–6</t>
        </is>
      </c>
      <c r="K5" s="12" t="inlineStr">
        <is>
          <t>≥ 7</t>
        </is>
      </c>
      <c r="L5" s="6" t="inlineStr">
        <is>
          <t>Planilha original (provisória)</t>
        </is>
      </c>
      <c r="M5" s="6" t="inlineStr">
        <is>
          <t>Manter — peso alto</t>
        </is>
      </c>
      <c r="N5" s="6" t="inlineStr">
        <is>
          <t>Ficha preenchida com a EMLURB (agora); ocorrências do COP e da Defesa Civil (confirmação)</t>
        </is>
      </c>
      <c r="O5" s="13" t="inlineStr">
        <is>
          <t>Pendente</t>
        </is>
      </c>
      <c r="P5" s="13" t="inlineStr">
        <is>
          <t>Pendente</t>
        </is>
      </c>
      <c r="Q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R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6" t="inlineStr"/>
      <c r="F6" s="7" t="inlineStr">
        <is>
          <t>Faixa fixa</t>
        </is>
      </c>
      <c r="G6" s="8" t="inlineStr">
        <is>
          <t>Altura &lt; 10 cm / baixa em &lt; 1 h</t>
        </is>
      </c>
      <c r="H6" s="9" t="inlineStr">
        <is>
          <t>10–30 cm (tornozelo) / 1–3 h</t>
        </is>
      </c>
      <c r="I6" s="10" t="inlineStr">
        <is>
          <t>30–50 cm (joelho) / 3–6 h</t>
        </is>
      </c>
      <c r="J6" s="11" t="inlineStr">
        <is>
          <t>50–100 cm (cintura) / 6–12 h</t>
        </is>
      </c>
      <c r="K6" s="12" t="inlineStr">
        <is>
          <t>&gt; 100 cm / &gt; 12 h</t>
        </is>
      </c>
      <c r="L6" s="6" t="inlineStr">
        <is>
          <t>Planilha original (provisória); regra da média: proposta Claude</t>
        </is>
      </c>
      <c r="M6" s="6" t="inlineStr">
        <is>
          <t>Manter — peso alto</t>
        </is>
      </c>
      <c r="N6" s="6" t="inlineStr">
        <is>
          <t>Ficha EMLURB; escuta com Defesa Civil e moradores</t>
        </is>
      </c>
      <c r="O6" s="13" t="inlineStr">
        <is>
          <t>Pendente</t>
        </is>
      </c>
      <c r="P6" s="13" t="inlineStr">
        <is>
          <t>Pendente</t>
        </is>
      </c>
      <c r="Q6" s="14" t="inlineStr">
        <is>
          <t>Extensão da mancha fica registrada como informação, sem nota própria.</t>
        </is>
      </c>
      <c r="R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6" t="inlineStr"/>
      <c r="F7" s="7" t="inlineStr">
        <is>
          <t>Classe</t>
        </is>
      </c>
      <c r="G7" s="8" t="inlineStr">
        <is>
          <t>Não influencia</t>
        </is>
      </c>
      <c r="H7" s="9" t="inlineStr">
        <is>
          <t>—</t>
        </is>
      </c>
      <c r="I7" s="10" t="inlineStr">
        <is>
          <t>Agrava ocasionalmente</t>
        </is>
      </c>
      <c r="J7" s="11" t="inlineStr">
        <is>
          <t>—</t>
        </is>
      </c>
      <c r="K7" s="12" t="inlineStr">
        <is>
          <t>Alaga dependendo da maré / escoamento bloqueado</t>
        </is>
      </c>
      <c r="L7" s="6" t="inlineStr">
        <is>
          <t>Planilha original</t>
        </is>
      </c>
      <c r="M7" s="6" t="inlineStr">
        <is>
          <t>Manter</t>
        </is>
      </c>
      <c r="N7" s="6" t="inlineStr">
        <is>
          <t>Ficha EMLURB; APAC; tábua de marés</t>
        </is>
      </c>
      <c r="O7" s="13" t="inlineStr">
        <is>
          <t>Pendente</t>
        </is>
      </c>
      <c r="P7" s="13" t="inlineStr">
        <is>
          <t>Pendente</t>
        </is>
      </c>
      <c r="Q7" s="14" t="inlineStr">
        <is>
          <t>Notas 2 e 4 ficam para casos intermediários, se a EMLURB indicar.</t>
        </is>
      </c>
      <c r="R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6" t="inlineStr"/>
      <c r="F8" s="7" t="inlineStr">
        <is>
          <t>Quintil (invertido)</t>
        </is>
      </c>
      <c r="G8" s="8" t="inlineStr">
        <is>
          <t>Quintil mais distante</t>
        </is>
      </c>
      <c r="H8" s="9" t="inlineStr">
        <is>
          <t>Quintil 2</t>
        </is>
      </c>
      <c r="I8" s="10" t="inlineStr">
        <is>
          <t>Quintil 3</t>
        </is>
      </c>
      <c r="J8" s="11" t="inlineStr">
        <is>
          <t>Quintil 4</t>
        </is>
      </c>
      <c r="K8" s="12" t="inlineStr">
        <is>
          <t>Quintil mais próximo</t>
        </is>
      </c>
      <c r="L8" s="6" t="inlineStr">
        <is>
          <t>Regra de quintis da planilha original</t>
        </is>
      </c>
      <c r="M8" s="6" t="inlineStr">
        <is>
          <t>Manter — peso menor (suscetibilidade)</t>
        </is>
      </c>
      <c r="N8" s="6" t="inlineStr">
        <is>
          <t>Shapefile próprio da rede hidrográfica; ESIG – recursos hídricos</t>
        </is>
      </c>
      <c r="O8" s="13" t="inlineStr">
        <is>
          <t>Pendente</t>
        </is>
      </c>
      <c r="P8" s="13" t="inlineStr">
        <is>
          <t>Pendente</t>
        </is>
      </c>
      <c r="Q8" s="14" t="inlineStr">
        <is>
          <t>Reprojetar para EPSG:31985. Conferir se os canais estão no arquivo.</t>
        </is>
      </c>
      <c r="R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6" t="inlineStr"/>
      <c r="F9" s="7" t="inlineStr">
        <is>
          <t>Faixa fixa</t>
        </is>
      </c>
      <c r="G9" s="8" t="inlineStr">
        <is>
          <t>&gt; 40%</t>
        </is>
      </c>
      <c r="H9" s="9" t="inlineStr">
        <is>
          <t>30–40%</t>
        </is>
      </c>
      <c r="I9" s="10" t="inlineStr">
        <is>
          <t>20–30%</t>
        </is>
      </c>
      <c r="J9" s="11" t="inlineStr">
        <is>
          <t>10–20%</t>
        </is>
      </c>
      <c r="K9" s="12" t="inlineStr">
        <is>
          <t>&lt; 10%</t>
        </is>
      </c>
      <c r="L9" s="6" t="inlineStr">
        <is>
          <t>Planilha original (provisória)</t>
        </is>
      </c>
      <c r="M9" s="6" t="inlineStr">
        <is>
          <t>Manter — peso menor (suscetibilidade)</t>
        </is>
      </c>
      <c r="N9" s="6" t="inlineStr">
        <is>
          <t>MapBiomas (30 m); alternativa: edificações do ESIG</t>
        </is>
      </c>
      <c r="O9" s="13" t="inlineStr">
        <is>
          <t>Pendente</t>
        </is>
      </c>
      <c r="P9" s="13" t="inlineStr">
        <is>
          <t>Pendente</t>
        </is>
      </c>
      <c r="Q9" s="14" t="inlineStr">
        <is>
          <t>Se quase todos os pontos ficarem em &lt; 10%, trocar por quintis.</t>
        </is>
      </c>
      <c r="R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6" t="inlineStr"/>
      <c r="F10" s="7" t="inlineStr">
        <is>
          <t>Quintil (invertido)</t>
        </is>
      </c>
      <c r="G10" s="8" t="inlineStr">
        <is>
          <t>Quintil mais alto</t>
        </is>
      </c>
      <c r="H10" s="9" t="inlineStr">
        <is>
          <t>Quintil 2</t>
        </is>
      </c>
      <c r="I10" s="10" t="inlineStr">
        <is>
          <t>Quintil 3</t>
        </is>
      </c>
      <c r="J10" s="11" t="inlineStr">
        <is>
          <t>Quintil 4</t>
        </is>
      </c>
      <c r="K10" s="12" t="inlineStr">
        <is>
          <t>Quintil mais baixo</t>
        </is>
      </c>
      <c r="L10" s="6" t="inlineStr">
        <is>
          <t>Proposta Claude (quintis)</t>
        </is>
      </c>
      <c r="M10" s="6" t="inlineStr">
        <is>
          <t>Condicional — só com curvas de nível ou modelo de terreno</t>
        </is>
      </c>
      <c r="N10" s="6" t="inlineStr">
        <is>
          <t>Condepe/Fidem — Acervo Cartográfico (curvas de nível); ESIG (a verificar)</t>
        </is>
      </c>
      <c r="O10" s="13" t="inlineStr">
        <is>
          <t>Pendente</t>
        </is>
      </c>
      <c r="P10" s="13" t="inlineStr">
        <is>
          <t>Pendente</t>
        </is>
      </c>
      <c r="Q10" s="14" t="inlineStr">
        <is>
          <t>Medida mais objetiva de acúmulo de água. 'Relevo' do documento da equipe.</t>
        </is>
      </c>
      <c r="R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6" t="inlineStr"/>
      <c r="F11" s="7" t="inlineStr">
        <is>
          <t>Quintil</t>
        </is>
      </c>
      <c r="G11" s="8" t="inlineStr">
        <is>
          <t>Quintil 1 (20% menores)</t>
        </is>
      </c>
      <c r="H11" s="9" t="inlineStr">
        <is>
          <t>Quintil 2</t>
        </is>
      </c>
      <c r="I11" s="10" t="inlineStr">
        <is>
          <t>Quintil 3</t>
        </is>
      </c>
      <c r="J11" s="11" t="inlineStr">
        <is>
          <t>Quintil 4</t>
        </is>
      </c>
      <c r="K11" s="12" t="inlineStr">
        <is>
          <t>Quintil 5 (20% maiores)</t>
        </is>
      </c>
      <c r="L11" s="6" t="inlineStr">
        <is>
          <t>Planilha original</t>
        </is>
      </c>
      <c r="M11" s="6" t="inlineStr">
        <is>
          <t>Manter</t>
        </is>
      </c>
      <c r="N11" s="6" t="inlineStr">
        <is>
          <t>IBGE — Grade Estatística 2022 (células de 200 × 200 m)</t>
        </is>
      </c>
      <c r="O11" s="13" t="inlineStr">
        <is>
          <t>Pendente</t>
        </is>
      </c>
      <c r="P11" s="13" t="inlineStr">
        <is>
          <t>Pendente</t>
        </is>
      </c>
      <c r="Q11" s="14" t="inlineStr">
        <is>
          <t>No painel, mostrar também o valor em 1 km.</t>
        </is>
      </c>
      <c r="R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6" t="inlineStr"/>
      <c r="F12" s="7" t="inlineStr">
        <is>
          <t>Faixa fixa</t>
        </is>
      </c>
      <c r="G12" s="8" t="inlineStr">
        <is>
          <t>Nenhum</t>
        </is>
      </c>
      <c r="H12" s="9" t="inlineStr">
        <is>
          <t>1</t>
        </is>
      </c>
      <c r="I12" s="10" t="inlineStr">
        <is>
          <t>2</t>
        </is>
      </c>
      <c r="J12" s="11" t="inlineStr">
        <is>
          <t>3–4</t>
        </is>
      </c>
      <c r="K12" s="12" t="inlineStr">
        <is>
          <t>≥ 5 ou hospital/UPA no círculo</t>
        </is>
      </c>
      <c r="L12" s="6" t="inlineStr">
        <is>
          <t>Proposta Claude (provisória)</t>
        </is>
      </c>
      <c r="M12" s="6" t="inlineStr">
        <is>
          <t>Manter</t>
        </is>
      </c>
      <c r="N12" s="6" t="inlineStr">
        <is>
          <t>Portal de dados abertos (escolas municipais, UBS, hospitais, rede de saúde); IBGE — CNEFE 2022 (ensino e saúde); CNES/DATASUS</t>
        </is>
      </c>
      <c r="O12" s="13" t="inlineStr">
        <is>
          <t>Pendente</t>
        </is>
      </c>
      <c r="P12" s="13" t="inlineStr">
        <is>
          <t>Pendente</t>
        </is>
      </c>
      <c r="Q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R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Soma do IPTU dos imóveis não residenciais no círculo de 1 km (valor lançado; se não houver, o pago). Pontos ordenados e divididos em 5 grupos; empates no mesmo grupo; sem imóvel não residencial = nota 1</t>
        </is>
      </c>
      <c r="E13" s="6" t="inlineStr">
        <is>
          <t>IPTU 2026 | Prefeitura do Recife (dados abertos)</t>
        </is>
      </c>
      <c r="F13" s="7" t="inlineStr">
        <is>
          <t>Quintil</t>
        </is>
      </c>
      <c r="G13" s="8" t="inlineStr">
        <is>
          <t>Quintil 1 (20% menores)</t>
        </is>
      </c>
      <c r="H13" s="9" t="inlineStr">
        <is>
          <t>Quintil 2</t>
        </is>
      </c>
      <c r="I13" s="10" t="inlineStr">
        <is>
          <t>Quintil 3</t>
        </is>
      </c>
      <c r="J13" s="11" t="inlineStr">
        <is>
          <t>Quintil 4</t>
        </is>
      </c>
      <c r="K13" s="12" t="inlineStr">
        <is>
          <t>Quintil 5 (20% maiores)</t>
        </is>
      </c>
      <c r="L13" s="6" t="inlineStr">
        <is>
          <t>Decisão de Pedro (03/10/2026)</t>
        </is>
      </c>
      <c r="M13" s="6" t="inlineStr">
        <is>
          <t>Manter</t>
        </is>
      </c>
      <c r="N13" s="6" t="inlineStr">
        <is>
          <t>Prefeitura do Recife — IPTU 2026 (dados abertos)</t>
        </is>
      </c>
      <c r="O13" s="13" t="inlineStr">
        <is>
          <t>Sim</t>
        </is>
      </c>
      <c r="P13" s="13" t="inlineStr">
        <is>
          <t>Sim</t>
        </is>
      </c>
      <c r="Q13" s="14" t="inlineStr">
        <is>
          <t>Aspecto econômico do modelo. Círculo de 1 km (exceção aos 300 m). Isentos entram com valor zero. Nota relativa aos 21 pontos.</t>
        </is>
      </c>
      <c r="R13" s="6" t="inlineStr">
        <is>
          <t>Segundo Pedro, tem coordenadas e valor pago. Tipo de uso e valor lançado não conferidos.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6" t="inlineStr"/>
      <c r="F14" s="7" t="inlineStr">
        <is>
          <t>Quintil</t>
        </is>
      </c>
      <c r="G14" s="8" t="inlineStr">
        <is>
          <t>Quintil 1 (20% menores)</t>
        </is>
      </c>
      <c r="H14" s="9" t="inlineStr">
        <is>
          <t>Quintil 2</t>
        </is>
      </c>
      <c r="I14" s="10" t="inlineStr">
        <is>
          <t>Quintil 3</t>
        </is>
      </c>
      <c r="J14" s="11" t="inlineStr">
        <is>
          <t>Quintil 4</t>
        </is>
      </c>
      <c r="K14" s="12" t="inlineStr">
        <is>
          <t>Quintil 5 (20% maiores)</t>
        </is>
      </c>
      <c r="L14" s="6" t="inlineStr">
        <is>
          <t>Planilha original</t>
        </is>
      </c>
      <c r="M14" s="6" t="inlineStr">
        <is>
          <t>Manter</t>
        </is>
      </c>
      <c r="N14" s="6" t="inlineStr">
        <is>
          <t>IBGE — Agregados por setor 2022 (idade)</t>
        </is>
      </c>
      <c r="O14" s="13" t="inlineStr">
        <is>
          <t>Pendente</t>
        </is>
      </c>
      <c r="P14" s="13" t="inlineStr">
        <is>
          <t>Pendente</t>
        </is>
      </c>
      <c r="Q14" s="14" t="inlineStr"/>
      <c r="R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6" t="inlineStr"/>
      <c r="F15" s="7" t="inlineStr">
        <is>
          <t>Faixa fixa</t>
        </is>
      </c>
      <c r="G15" s="8" t="inlineStr">
        <is>
          <t>0%</t>
        </is>
      </c>
      <c r="H15" s="9" t="inlineStr">
        <is>
          <t>&lt; 10%</t>
        </is>
      </c>
      <c r="I15" s="10" t="inlineStr">
        <is>
          <t>10–25%</t>
        </is>
      </c>
      <c r="J15" s="11" t="inlineStr">
        <is>
          <t>25–50%</t>
        </is>
      </c>
      <c r="K15" s="12" t="inlineStr">
        <is>
          <t>&gt; 50%</t>
        </is>
      </c>
      <c r="L15" s="6" t="inlineStr">
        <is>
          <t>Proposta Claude (provisória)</t>
        </is>
      </c>
      <c r="M15" s="6" t="inlineStr">
        <is>
          <t>Manter — substitui o V1 se a malha 2022 existir</t>
        </is>
      </c>
      <c r="N15" s="6" t="inlineStr">
        <is>
          <t>IBGE — Favelas e Comunidades Urbanas 2022 (malha); ZEIS do Plano Diretor e relação de favelas (portal)</t>
        </is>
      </c>
      <c r="O15" s="13" t="inlineStr">
        <is>
          <t>Pendente</t>
        </is>
      </c>
      <c r="P15" s="13" t="inlineStr">
        <is>
          <t>Pendente</t>
        </is>
      </c>
      <c r="Q15" s="14" t="inlineStr">
        <is>
          <t>Mais atual que o IVS (2010). ZEIS 2 (terrenos vazios) não conta.</t>
        </is>
      </c>
      <c r="R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6" t="inlineStr"/>
      <c r="F16" s="7" t="inlineStr">
        <is>
          <t>Quintil</t>
        </is>
      </c>
      <c r="G16" s="8" t="inlineStr">
        <is>
          <t>Quintil 1 (20% menores)</t>
        </is>
      </c>
      <c r="H16" s="9" t="inlineStr">
        <is>
          <t>Quintil 2</t>
        </is>
      </c>
      <c r="I16" s="10" t="inlineStr">
        <is>
          <t>Quintil 3</t>
        </is>
      </c>
      <c r="J16" s="11" t="inlineStr">
        <is>
          <t>Quintil 4</t>
        </is>
      </c>
      <c r="K16" s="12" t="inlineStr">
        <is>
          <t>Quintil 5 (20% maiores)</t>
        </is>
      </c>
      <c r="L16" s="6" t="inlineStr">
        <is>
          <t>Proposta Claude (quintis)</t>
        </is>
      </c>
      <c r="M16" s="6" t="inlineStr">
        <is>
          <t>Manter</t>
        </is>
      </c>
      <c r="N16" s="6" t="inlineStr">
        <is>
          <t>IBGE — Agregados por setor 2022 (tipo de domicílio)</t>
        </is>
      </c>
      <c r="O16" s="13" t="inlineStr">
        <is>
          <t>Pendente</t>
        </is>
      </c>
      <c r="P16" s="13" t="inlineStr">
        <is>
          <t>Pendente</t>
        </is>
      </c>
      <c r="Q16" s="14" t="inlineStr">
        <is>
          <t>Casa térrea é mais atingida que apartamento.</t>
        </is>
      </c>
      <c r="R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6" t="inlineStr"/>
      <c r="F17" s="7" t="inlineStr"/>
      <c r="G17" s="8" t="inlineStr"/>
      <c r="H17" s="9" t="inlineStr"/>
      <c r="I17" s="10" t="inlineStr"/>
      <c r="J17" s="11" t="inlineStr"/>
      <c r="K17" s="12" t="inlineStr"/>
      <c r="L17" s="6" t="inlineStr">
        <is>
          <t>Documento da equipe (Hellis, 03/10/2026)</t>
        </is>
      </c>
      <c r="M17" s="6" t="inlineStr">
        <is>
          <t>Nova — só entra com definição e fonte</t>
        </is>
      </c>
      <c r="N17" s="6" t="inlineStr"/>
      <c r="O17" s="13" t="inlineStr">
        <is>
          <t>Pendente</t>
        </is>
      </c>
      <c r="P17" s="13" t="inlineStr">
        <is>
          <t>Pendente</t>
        </is>
      </c>
      <c r="Q17" s="14" t="inlineStr">
        <is>
          <t>Pedir a definição a Hellis antes de procurar dado.</t>
        </is>
      </c>
      <c r="R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6" t="inlineStr"/>
      <c r="F18" s="7" t="inlineStr"/>
      <c r="G18" s="8" t="inlineStr"/>
      <c r="H18" s="9" t="inlineStr"/>
      <c r="I18" s="10" t="inlineStr"/>
      <c r="J18" s="11" t="inlineStr"/>
      <c r="K18" s="12" t="inlineStr"/>
      <c r="L18" s="6" t="inlineStr">
        <is>
          <t>Documento da equipe (Hellis, 03/10/2026)</t>
        </is>
      </c>
      <c r="M18" s="6" t="inlineStr">
        <is>
          <t>Nova — só entra com definição e fonte</t>
        </is>
      </c>
      <c r="N18" s="6" t="inlineStr"/>
      <c r="O18" s="13" t="inlineStr">
        <is>
          <t>Pendente</t>
        </is>
      </c>
      <c r="P18" s="13" t="inlineStr">
        <is>
          <t>Pendente</t>
        </is>
      </c>
      <c r="Q18" s="14" t="inlineStr">
        <is>
          <t>Pode absorver o V4 (tipo de moradia) e o I2 (esgoto). Pedir a definição a Hellis.</t>
        </is>
      </c>
      <c r="R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6" t="inlineStr"/>
      <c r="F19" s="7" t="inlineStr">
        <is>
          <t>Faixa fixa</t>
        </is>
      </c>
      <c r="G19" s="8" t="inlineStr">
        <is>
          <t>Muito baixa (0–0,200)</t>
        </is>
      </c>
      <c r="H19" s="9" t="inlineStr">
        <is>
          <t>Baixa (0,201–0,300)</t>
        </is>
      </c>
      <c r="I19" s="10" t="inlineStr">
        <is>
          <t>Média (0,301–0,400)</t>
        </is>
      </c>
      <c r="J19" s="11" t="inlineStr">
        <is>
          <t>Alta (0,401–0,500)</t>
        </is>
      </c>
      <c r="K19" s="12" t="inlineStr">
        <is>
          <t>Muito alta (&gt; 0,500)</t>
        </is>
      </c>
      <c r="L19" s="6" t="inlineStr">
        <is>
          <t>Faixas do Ipea (conferir no Atlas)</t>
        </is>
      </c>
      <c r="M19" s="6" t="inlineStr">
        <is>
          <t>Plano B — só se o V3 não estiver disponível</t>
        </is>
      </c>
      <c r="N19" s="6" t="inlineStr">
        <is>
          <t>Ipea — Atlas da Vulnerabilidade Social (UDH)</t>
        </is>
      </c>
      <c r="O19" s="13" t="inlineStr">
        <is>
          <t>Pendente</t>
        </is>
      </c>
      <c r="P19" s="13" t="inlineStr">
        <is>
          <t>Pendente</t>
        </is>
      </c>
      <c r="Q19" s="14" t="inlineStr">
        <is>
          <t>Base do Censo 2010.</t>
        </is>
      </c>
      <c r="R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Passo 1 — Identificar a via afetada. Trecho (Linha ou Vários): a própria via do trecho. Ponto num cruzamento: todas as vias que se cruzam ali; vale a mais importante. Ponto isolado numa via: a própria via.
Passo 2 — Classificar a via estritamente pela hierarquia viária da CTTU (cttu.recife.pe.gov.br/sistema-viario e Classificação Hierárquica): corredor de transporte metropolitano, corredor de transporte urbano principal, corredor de transporte urbano secundário ou via fora dos corredores. O nome da via (avenida ou rua) não conta.
Passo 3 — Converter a classe em nota pela escala das colunas G a K.
Regras: se a classe muda ao longo da via, vale a classe no trecho do ponto; se o ponto pega mais de uma via, vale a de nota mais alta; interdição registrada pela CTTU só confere a nota, não soma.</t>
        </is>
      </c>
      <c r="E20" s="6" t="inlineStr">
        <is>
          <t>Sistema viário | CTTU</t>
        </is>
      </c>
      <c r="F20" s="7" t="inlineStr">
        <is>
          <t>Classe</t>
        </is>
      </c>
      <c r="G20" s="8" t="inlineStr">
        <is>
          <t>Ruas</t>
        </is>
      </c>
      <c r="H20" s="9" t="inlineStr">
        <is>
          <t>Demais avenidas</t>
        </is>
      </c>
      <c r="I20" s="10" t="inlineStr">
        <is>
          <t>Corredor de transporte urbano secundário</t>
        </is>
      </c>
      <c r="J20" s="11" t="inlineStr">
        <is>
          <t>Corredor de transporte urbano principal</t>
        </is>
      </c>
      <c r="K20" s="12" t="inlineStr">
        <is>
          <t>Corredor de transporte metropolitano</t>
        </is>
      </c>
      <c r="L20" s="6" t="inlineStr">
        <is>
          <t>Pedro (03/10/2026)</t>
        </is>
      </c>
      <c r="M20" s="6" t="inlineStr">
        <is>
          <t>Manter</t>
        </is>
      </c>
      <c r="N20" s="6" t="inlineStr">
        <is>
          <t>Corredores de ônibus (portal de dados abertos); hierarquia viária e corredores (CTTU / Grande Recife)</t>
        </is>
      </c>
      <c r="O20" s="13" t="inlineStr">
        <is>
          <t>Sim</t>
        </is>
      </c>
      <c r="P20" s="13" t="inlineStr">
        <is>
          <t>Sim</t>
        </is>
      </c>
      <c r="Q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R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6" t="inlineStr"/>
      <c r="F21" s="7" t="inlineStr">
        <is>
          <t>Quintil</t>
        </is>
      </c>
      <c r="G21" s="8" t="inlineStr">
        <is>
          <t>Quintil 1 (20% menores)</t>
        </is>
      </c>
      <c r="H21" s="9" t="inlineStr">
        <is>
          <t>Quintil 2</t>
        </is>
      </c>
      <c r="I21" s="10" t="inlineStr">
        <is>
          <t>Quintil 3</t>
        </is>
      </c>
      <c r="J21" s="11" t="inlineStr">
        <is>
          <t>Quintil 4</t>
        </is>
      </c>
      <c r="K21" s="12" t="inlineStr">
        <is>
          <t>Quintil 5 (20% maiores)</t>
        </is>
      </c>
      <c r="L21" s="6" t="inlineStr">
        <is>
          <t>Proposta Claude (quintis)</t>
        </is>
      </c>
      <c r="M21" s="6" t="inlineStr">
        <is>
          <t>Manter</t>
        </is>
      </c>
      <c r="N21" s="6" t="inlineStr">
        <is>
          <t>IBGE — Agregados por setor 2022 (esgotamento); Compesa</t>
        </is>
      </c>
      <c r="O21" s="13" t="inlineStr">
        <is>
          <t>Pendente</t>
        </is>
      </c>
      <c r="P21" s="13" t="inlineStr">
        <is>
          <t>Pendente</t>
        </is>
      </c>
      <c r="Q21" s="14" t="inlineStr">
        <is>
          <t>Quintis porque a cobertura de esgoto no Recife é baixa e faixas fixas podem saturar. Pode passar para o V6 (infraestrutura precária).</t>
        </is>
      </c>
      <c r="R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6" t="inlineStr"/>
      <c r="F22" s="7" t="inlineStr"/>
      <c r="G22" s="8" t="inlineStr"/>
      <c r="H22" s="9" t="inlineStr"/>
      <c r="I22" s="10" t="inlineStr"/>
      <c r="J22" s="11" t="inlineStr"/>
      <c r="K22" s="12" t="inlineStr"/>
      <c r="L22" s="6" t="inlineStr">
        <is>
          <t>Documento da equipe (Hellis, 03/10/2026)</t>
        </is>
      </c>
      <c r="M22" s="6" t="inlineStr">
        <is>
          <t>Nova — só entra com definição e fonte</t>
        </is>
      </c>
      <c r="N22" s="6" t="inlineStr"/>
      <c r="O22" s="13" t="inlineStr">
        <is>
          <t>Pendente</t>
        </is>
      </c>
      <c r="P22" s="13" t="inlineStr">
        <is>
          <t>Pendente</t>
        </is>
      </c>
      <c r="Q22" s="14" t="inlineStr">
        <is>
          <t>Leitura possível: comunidade sem rota alternativa quando o ponto alaga (malha viária). Confirmar com Hellis.</t>
        </is>
      </c>
      <c r="R22" s="6" t="inlineStr">
        <is>
          <t>Não pesquisado.</t>
        </is>
      </c>
    </row>
    <row r="23">
      <c r="A23" s="18" t="inlineStr">
        <is>
          <t>Impacto</t>
        </is>
      </c>
      <c r="B23" s="19" t="inlineStr">
        <is>
          <t>I4</t>
        </is>
      </c>
      <c r="C23" s="6" t="inlineStr">
        <is>
          <t>Proximidade a infraestrutura crítica</t>
        </is>
      </c>
      <c r="D23" s="6" t="inlineStr">
        <is>
          <t>Distância em linha reta (EPSG:31985) do ponto, ou da linha do trecho, até a infraestrutura crítica mais próxima. Infraestrutura crítica = estrutura cuja interrupção por alagamento deixa sem serviço essencial uma área maior que o entorno do ponto: estação de metrô, delegacia, Corpo de Bombeiros, base do SAMU, aeroporto, subestação da Neoenergia.</t>
        </is>
      </c>
      <c r="E23" s="6" t="inlineStr"/>
      <c r="F23" s="7" t="inlineStr">
        <is>
          <t>Faixa fixa</t>
        </is>
      </c>
      <c r="G23" s="8" t="inlineStr">
        <is>
          <t>&gt; 2.000 m</t>
        </is>
      </c>
      <c r="H23" s="9" t="inlineStr">
        <is>
          <t>1.500–2.000 m</t>
        </is>
      </c>
      <c r="I23" s="10" t="inlineStr">
        <is>
          <t>1.000–1.500 m</t>
        </is>
      </c>
      <c r="J23" s="11" t="inlineStr">
        <is>
          <t>500–1.000 m</t>
        </is>
      </c>
      <c r="K23" s="12" t="inlineStr">
        <is>
          <t>≤ 500 m</t>
        </is>
      </c>
      <c r="L23" s="6" t="inlineStr">
        <is>
          <t>Pedro (03/10/2026)</t>
        </is>
      </c>
      <c r="M23" s="6" t="inlineStr">
        <is>
          <t>Proposta — conferir se diferencia os 21 pontos</t>
        </is>
      </c>
      <c r="N23" s="6" t="inlineStr">
        <is>
          <t>CBTU (metrô); Polícia Civil / SDS-PE (delegacias); CBMPE (bombeiros); SAMU; Aeroporto do Recife; Neoenergia (subestações)</t>
        </is>
      </c>
      <c r="O23" s="13" t="inlineStr">
        <is>
          <t>Pendente</t>
        </is>
      </c>
      <c r="P23" s="13" t="inlineStr">
        <is>
          <t>Pendente</t>
        </is>
      </c>
      <c r="Q23" s="14" t="inlineStr">
        <is>
          <t>Lista definida por Pedro. Em aberto: terminais integrados, estruturas da Compesa, Defesa Civil e abrigos. Hospital e UPA ficam no E2. Se quase todos os pontos ficarem acima de 2 km, vira contexto no painel (pendência 18).</t>
        </is>
      </c>
      <c r="R23" s="6" t="inlineStr">
        <is>
          <t>Não pesquisado.</t>
        </is>
      </c>
    </row>
    <row r="25">
      <c r="A25" s="20" t="inlineStr">
        <is>
          <t>Resumo</t>
        </is>
      </c>
      <c r="O25" s="21" t="inlineStr">
        <is>
          <t>Fonte confirmada</t>
        </is>
      </c>
      <c r="P25" s="21" t="inlineStr">
        <is>
          <t>Dado existe</t>
        </is>
      </c>
    </row>
    <row r="26">
      <c r="N26" s="22" t="inlineStr">
        <is>
          <t>Sim</t>
        </is>
      </c>
      <c r="O26" s="23">
        <f>COUNTIF(O$5:O$23,$N26)</f>
        <v/>
      </c>
      <c r="P26" s="23">
        <f>COUNTIF(P$5:P$23,$N26)</f>
        <v/>
      </c>
    </row>
    <row r="27">
      <c r="N27" s="22" t="inlineStr">
        <is>
          <t>Parcial</t>
        </is>
      </c>
      <c r="O27" s="23">
        <f>COUNTIF(O$5:O$23,$N27)</f>
        <v/>
      </c>
      <c r="P27" s="23">
        <f>COUNTIF(P$5:P$23,$N27)</f>
        <v/>
      </c>
    </row>
    <row r="28">
      <c r="N28" s="22" t="inlineStr">
        <is>
          <t>Não</t>
        </is>
      </c>
      <c r="O28" s="23">
        <f>COUNTIF(O$5:O$23,$N28)</f>
        <v/>
      </c>
      <c r="P28" s="23">
        <f>COUNTIF(P$5:P$23,$N28)</f>
        <v/>
      </c>
    </row>
    <row r="29">
      <c r="N29" s="22" t="inlineStr">
        <is>
          <t>Pendente</t>
        </is>
      </c>
      <c r="O29" s="23">
        <f>COUNTIF(O$5:O$23,$N29)</f>
        <v/>
      </c>
      <c r="P29" s="23">
        <f>COUNTIF(P$5:P$23,$N29)</f>
        <v/>
      </c>
    </row>
    <row r="30">
      <c r="N30" s="24" t="inlineStr">
        <is>
          <t>Variáveis com fonte e dado confirmados</t>
        </is>
      </c>
      <c r="P30" s="25">
        <f>COUNTIFS(O5:O23,"Sim",P5:P23,"Sim")&amp;" de "&amp;ROWS(O5:O23)</f>
        <v/>
      </c>
    </row>
  </sheetData>
  <autoFilter ref="A4:R23"/>
  <mergeCells count="1">
    <mergeCell ref="A2:R2"/>
  </mergeCells>
  <conditionalFormatting sqref="O5:P23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O5:P23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2026-10-03T17:45:11Z</dcterms:created>
  <dcterms:modified xsi:type="dcterms:W3CDTF">2026-10-03T17:45:11Z</dcterms:modified>
</cp:coreProperties>
</file>