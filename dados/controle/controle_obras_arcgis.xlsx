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e das ob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869A6"/>
      <sz val="13"/>
    </font>
    <font>
      <i val="1"/>
      <color rgb="00555555"/>
      <sz val="9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869A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D9EAD3"/>
        </patternFill>
      </fill>
    </dxf>
    <dxf>
      <font>
        <color rgb="00808080"/>
      </font>
      <fill>
        <patternFill patternType="solid">
          <f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26" customWidth="1" min="3" max="3"/>
    <col width="60" customWidth="1" min="4" max="4"/>
    <col width="14" customWidth="1" min="5" max="5"/>
    <col width="30" customWidth="1" min="6" max="6"/>
  </cols>
  <sheetData>
    <row r="1">
      <c r="A1" s="1" t="inlineStr">
        <is>
          <t>Controle de inserção das obras na camada do ArcGIS</t>
        </is>
      </c>
    </row>
    <row r="2">
      <c r="A2" s="2" t="inlineStr">
        <is>
          <t>Fonte: Tabela 84 – Evolução dos domicílios em risco de inundação (documento a identificar). Texto das obras copiado da tabela. O obra_id é o mesmo da aba "Obras" da planilha do painel (1 e 2 são os canais do Sanbra e da Mauricéa) e deve ir no campo obra da camada do ArcGIS.</t>
        </is>
      </c>
    </row>
    <row r="4">
      <c r="A4" s="3" t="inlineStr">
        <is>
          <t>obra_id</t>
        </is>
      </c>
      <c r="B4" s="3" t="inlineStr">
        <is>
          <t>Órgão / Programa</t>
        </is>
      </c>
      <c r="C4" s="3" t="inlineStr">
        <is>
          <t>Tipo de intervenção</t>
        </is>
      </c>
      <c r="D4" s="3" t="inlineStr">
        <is>
          <t>Obra (como na tabela)</t>
        </is>
      </c>
      <c r="E4" s="3" t="inlineStr">
        <is>
          <t>Inserida no ArcGIS?</t>
        </is>
      </c>
      <c r="F4" s="3" t="inlineStr">
        <is>
          <t>Observação</t>
        </is>
      </c>
    </row>
    <row r="5">
      <c r="A5" s="4" t="n">
        <v>3</v>
      </c>
      <c r="B5" s="4" t="inlineStr">
        <is>
          <t>SESAN – Periferia Viva</t>
        </is>
      </c>
      <c r="C5" s="4" t="inlineStr">
        <is>
          <t>Urbanização integrada + parque alagável</t>
        </is>
      </c>
      <c r="D5" s="4" t="inlineStr">
        <is>
          <t>Requalificação de áreas vulneráveis às margens do Rio Beberibe no bairro Cajueiro e adjacências – drenagem, esgotamento, parque linear e parque alagável (Recurso Novo PAC)</t>
        </is>
      </c>
      <c r="E5" s="4" t="inlineStr">
        <is>
          <t>Não</t>
        </is>
      </c>
      <c r="F5" s="4" t="inlineStr"/>
    </row>
    <row r="6">
      <c r="A6" s="4" t="n">
        <v>4</v>
      </c>
      <c r="B6" s="4" t="inlineStr">
        <is>
          <t>ProMorar – Urbanização de CIS</t>
        </is>
      </c>
      <c r="C6" s="4" t="inlineStr">
        <is>
          <t>Urbanização integrada</t>
        </is>
      </c>
      <c r="D6" s="4" t="inlineStr">
        <is>
          <t>Implantação de redes de microdrenagem (galerias, sarjetas e canaletas), dispositivos de captação (bocas de lobo, caixas e poços de visita com gaveta)</t>
        </is>
      </c>
      <c r="E6" s="4" t="inlineStr">
        <is>
          <t>Não</t>
        </is>
      </c>
      <c r="F6" s="4" t="inlineStr"/>
    </row>
    <row r="7">
      <c r="A7" s="4" t="n">
        <v>5</v>
      </c>
      <c r="B7" s="4" t="inlineStr">
        <is>
          <t>ProMorar – Urbanização de CIS</t>
        </is>
      </c>
      <c r="C7" s="4" t="inlineStr">
        <is>
          <t>Urbanização integrada</t>
        </is>
      </c>
      <c r="D7" s="4" t="inlineStr">
        <is>
          <t>Soluções complementares como pavimentação, drenagem superficial em vielas e integração com sistemas de abastecimento e esgotamento sanitário</t>
        </is>
      </c>
      <c r="E7" s="4" t="inlineStr">
        <is>
          <t>Não</t>
        </is>
      </c>
      <c r="F7" s="4" t="inlineStr"/>
    </row>
    <row r="8">
      <c r="A8" s="4" t="n">
        <v>6</v>
      </c>
      <c r="B8" s="4" t="inlineStr">
        <is>
          <t>ProMorar – Macrodrenagem (Tejipió)</t>
        </is>
      </c>
      <c r="C8" s="4" t="inlineStr">
        <is>
          <t>Parques alagáveis</t>
        </is>
      </c>
      <c r="D8" s="4" t="inlineStr">
        <is>
          <t>Campo do Barro (Concluído – também apresentado na seção de Parques)</t>
        </is>
      </c>
      <c r="E8" s="4" t="inlineStr">
        <is>
          <t>Não</t>
        </is>
      </c>
      <c r="F8" s="4" t="inlineStr"/>
    </row>
    <row r="9">
      <c r="A9" s="4" t="n">
        <v>7</v>
      </c>
      <c r="B9" s="4" t="inlineStr">
        <is>
          <t>ProMorar – Macrodrenagem (Tejipió)</t>
        </is>
      </c>
      <c r="C9" s="4" t="inlineStr">
        <is>
          <t>Parques alagáveis</t>
        </is>
      </c>
      <c r="D9" s="4" t="inlineStr">
        <is>
          <t>Jardim Uchôa/Laranjeira (apresentado na seção de Parque como Parque Garantido)</t>
        </is>
      </c>
      <c r="E9" s="4" t="inlineStr">
        <is>
          <t>Não</t>
        </is>
      </c>
      <c r="F9" s="4" t="inlineStr"/>
    </row>
    <row r="10">
      <c r="A10" s="4" t="n">
        <v>8</v>
      </c>
      <c r="B10" s="4" t="inlineStr">
        <is>
          <t>ProMorar – Macrodrenagem (Tejipió)</t>
        </is>
      </c>
      <c r="C10" s="4" t="inlineStr">
        <is>
          <t>Reservatórios de detenção</t>
        </is>
      </c>
      <c r="D10" s="4" t="inlineStr">
        <is>
          <t>Detenção mais controle no Sapo Nú (~145.000 m²)</t>
        </is>
      </c>
      <c r="E10" s="4" t="inlineStr">
        <is>
          <t>Não</t>
        </is>
      </c>
      <c r="F10" s="4" t="inlineStr"/>
    </row>
    <row r="11">
      <c r="A11" s="4" t="n">
        <v>9</v>
      </c>
      <c r="B11" s="4" t="inlineStr">
        <is>
          <t>ProMorar – Macrodrenagem (Tejipió)</t>
        </is>
      </c>
      <c r="C11" s="4" t="inlineStr">
        <is>
          <t>Reservatórios de detenção</t>
        </is>
      </c>
      <c r="D11" s="4" t="inlineStr">
        <is>
          <t>Detenção mais controle no 4º Batalhão de Comunicações</t>
        </is>
      </c>
      <c r="E11" s="4" t="inlineStr">
        <is>
          <t>Não</t>
        </is>
      </c>
      <c r="F11" s="4" t="inlineStr"/>
    </row>
    <row r="12">
      <c r="A12" s="4" t="n">
        <v>10</v>
      </c>
      <c r="B12" s="4" t="inlineStr">
        <is>
          <t>ProMorar – Macrodrenagem (Tejipió)</t>
        </is>
      </c>
      <c r="C12" s="4" t="inlineStr">
        <is>
          <t>Reservatórios de detenção</t>
        </is>
      </c>
      <c r="D12" s="4" t="inlineStr">
        <is>
          <t>Reservatório BR-101 (~76.000 m²)</t>
        </is>
      </c>
      <c r="E12" s="4" t="inlineStr">
        <is>
          <t>Não</t>
        </is>
      </c>
      <c r="F12" s="4" t="inlineStr"/>
    </row>
    <row r="13">
      <c r="A13" s="4" t="n">
        <v>11</v>
      </c>
      <c r="B13" s="4" t="inlineStr">
        <is>
          <t>ProMorar – Macrodrenagem (Tejipió)</t>
        </is>
      </c>
      <c r="C13" s="4" t="inlineStr">
        <is>
          <t>Reservatórios de detenção</t>
        </is>
      </c>
      <c r="D13" s="4" t="inlineStr">
        <is>
          <t>Reservatório BR-232 (~85.000 m²)</t>
        </is>
      </c>
      <c r="E13" s="4" t="inlineStr">
        <is>
          <t>Não</t>
        </is>
      </c>
      <c r="F13" s="4" t="inlineStr"/>
    </row>
    <row r="14">
      <c r="A14" s="4" t="n">
        <v>12</v>
      </c>
      <c r="B14" s="4" t="inlineStr">
        <is>
          <t>ProMorar – Macrodrenagem (Tejipió)</t>
        </is>
      </c>
      <c r="C14" s="4" t="inlineStr">
        <is>
          <t>Reservatórios de detenção</t>
        </is>
      </c>
      <c r="D14" s="4" t="inlineStr">
        <is>
          <t>7 Microrreservatórios</t>
        </is>
      </c>
      <c r="E14" s="4" t="inlineStr">
        <is>
          <t>Não</t>
        </is>
      </c>
      <c r="F14" s="4" t="inlineStr"/>
    </row>
    <row r="15">
      <c r="A15" s="4" t="n">
        <v>13</v>
      </c>
      <c r="B15" s="4" t="inlineStr">
        <is>
          <t>ProMorar – Macrodrenagem (Tejipió)</t>
        </is>
      </c>
      <c r="C15" s="4" t="inlineStr">
        <is>
          <t>Diques e comportas</t>
        </is>
      </c>
      <c r="D15" s="4" t="inlineStr">
        <is>
          <t>Dique da Avenida Recife</t>
        </is>
      </c>
      <c r="E15" s="4" t="inlineStr">
        <is>
          <t>Não</t>
        </is>
      </c>
      <c r="F15" s="4" t="inlineStr"/>
    </row>
    <row r="16">
      <c r="A16" s="4" t="n">
        <v>14</v>
      </c>
      <c r="B16" s="4" t="inlineStr">
        <is>
          <t>ProMorar – Macrodrenagem (Tejipió)</t>
        </is>
      </c>
      <c r="C16" s="4" t="inlineStr">
        <is>
          <t>Diques e comportas</t>
        </is>
      </c>
      <c r="D16" s="4" t="inlineStr">
        <is>
          <t>Dique entre Tejipió e IPSEP</t>
        </is>
      </c>
      <c r="E16" s="4" t="inlineStr">
        <is>
          <t>Não</t>
        </is>
      </c>
      <c r="F16" s="4" t="inlineStr"/>
    </row>
    <row r="17">
      <c r="A17" s="4" t="n">
        <v>15</v>
      </c>
      <c r="B17" s="4" t="inlineStr">
        <is>
          <t>ProMorar – Macrodrenagem (Tejipió)</t>
        </is>
      </c>
      <c r="C17" s="4" t="inlineStr">
        <is>
          <t>Diques e comportas</t>
        </is>
      </c>
      <c r="D17" s="4" t="inlineStr">
        <is>
          <t>Estrada/Dique, comporta e sistema de bombeamento no Malária/Vila da Arquiteta Maria Lúcia</t>
        </is>
      </c>
      <c r="E17" s="4" t="inlineStr">
        <is>
          <t>Não</t>
        </is>
      </c>
      <c r="F17" s="4" t="inlineStr"/>
    </row>
    <row r="18">
      <c r="A18" s="4" t="n">
        <v>16</v>
      </c>
      <c r="B18" s="4" t="inlineStr">
        <is>
          <t>ProMorar – Macrodrenagem (Tejipió)</t>
        </is>
      </c>
      <c r="C18" s="4" t="inlineStr">
        <is>
          <t>Diques e comportas</t>
        </is>
      </c>
      <c r="D18" s="4" t="inlineStr">
        <is>
          <t>Dique nas CIS Dancing Days</t>
        </is>
      </c>
      <c r="E18" s="4" t="inlineStr">
        <is>
          <t>Não</t>
        </is>
      </c>
      <c r="F18" s="4" t="inlineStr"/>
    </row>
    <row r="19">
      <c r="A19" s="4" t="n">
        <v>17</v>
      </c>
      <c r="B19" s="4" t="inlineStr">
        <is>
          <t>ProMorar – Macrodrenagem (Tejipió)</t>
        </is>
      </c>
      <c r="C19" s="4" t="inlineStr">
        <is>
          <t>Diques e comportas</t>
        </is>
      </c>
      <c r="D19" s="4" t="inlineStr">
        <is>
          <t>Dique Sítio das Mangueiras</t>
        </is>
      </c>
      <c r="E19" s="4" t="inlineStr">
        <is>
          <t>Não</t>
        </is>
      </c>
      <c r="F19" s="4" t="inlineStr"/>
    </row>
    <row r="20">
      <c r="A20" s="4" t="n">
        <v>18</v>
      </c>
      <c r="B20" s="4" t="inlineStr">
        <is>
          <t>ProMorar – Macrodrenagem (Tejipió)</t>
        </is>
      </c>
      <c r="C20" s="4" t="inlineStr">
        <is>
          <t>Dragagem</t>
        </is>
      </c>
      <c r="D20" s="4" t="inlineStr">
        <is>
          <t>3 Trecho do Rio Tejipió (Trecho 1 concluído)</t>
        </is>
      </c>
      <c r="E20" s="4" t="inlineStr">
        <is>
          <t>Não</t>
        </is>
      </c>
      <c r="F20" s="4" t="inlineStr"/>
    </row>
    <row r="21">
      <c r="A21" s="4" t="n">
        <v>19</v>
      </c>
      <c r="B21" s="4" t="inlineStr">
        <is>
          <t>ProMorar – Macrodrenagem (Tejipió)</t>
        </is>
      </c>
      <c r="C21" s="4" t="inlineStr">
        <is>
          <t>Dragagem</t>
        </is>
      </c>
      <c r="D21" s="4" t="inlineStr">
        <is>
          <t>Canal Gregório de Caldas</t>
        </is>
      </c>
      <c r="E21" s="4" t="inlineStr">
        <is>
          <t>Não</t>
        </is>
      </c>
      <c r="F21" s="4" t="inlineStr"/>
    </row>
    <row r="22">
      <c r="A22" s="4" t="n">
        <v>20</v>
      </c>
      <c r="B22" s="4" t="inlineStr">
        <is>
          <t>ProMorar – Macrodrenagem (Tejipió)</t>
        </is>
      </c>
      <c r="C22" s="4" t="inlineStr">
        <is>
          <t>Perfilamento do Rio Tejipió</t>
        </is>
      </c>
      <c r="D22" s="4" t="inlineStr">
        <is>
          <t>Perfilamento de 860 metros do rio Tejipió (obra concluída)</t>
        </is>
      </c>
      <c r="E22" s="4" t="inlineStr">
        <is>
          <t>Não</t>
        </is>
      </c>
      <c r="F22" s="4" t="inlineStr"/>
    </row>
    <row r="23">
      <c r="A23" s="4" t="n">
        <v>21</v>
      </c>
      <c r="B23" s="4" t="inlineStr">
        <is>
          <t>ProMorar – Macrodrenagem (Tejipió)</t>
        </is>
      </c>
      <c r="C23" s="4" t="inlineStr">
        <is>
          <t>Perfilamento do Rio Tejipió</t>
        </is>
      </c>
      <c r="D23" s="4" t="inlineStr">
        <is>
          <t>Canal CHESF</t>
        </is>
      </c>
      <c r="E23" s="4" t="inlineStr">
        <is>
          <t>Não</t>
        </is>
      </c>
      <c r="F23" s="4" t="inlineStr"/>
    </row>
    <row r="24">
      <c r="A24" s="4" t="n">
        <v>22</v>
      </c>
      <c r="B24" s="4" t="inlineStr">
        <is>
          <t>ProMorar – Macrodrenagem (Tejipió)</t>
        </is>
      </c>
      <c r="C24" s="4" t="inlineStr">
        <is>
          <t>Perfilamento do Rio Tejipió</t>
        </is>
      </c>
      <c r="D24" s="4" t="inlineStr">
        <is>
          <t>Canal Torrões</t>
        </is>
      </c>
      <c r="E24" s="4" t="inlineStr">
        <is>
          <t>Não</t>
        </is>
      </c>
      <c r="F24" s="4" t="inlineStr"/>
    </row>
    <row r="25">
      <c r="A25" s="4" t="n">
        <v>23</v>
      </c>
      <c r="B25" s="4" t="inlineStr">
        <is>
          <t>ProMorar – Macrodrenagem (Tejipió)</t>
        </is>
      </c>
      <c r="C25" s="4" t="inlineStr">
        <is>
          <t>Perfilamento do Rio Tejipió</t>
        </is>
      </c>
      <c r="D25" s="4" t="inlineStr">
        <is>
          <t>Canal São Leopoldo</t>
        </is>
      </c>
      <c r="E25" s="4" t="inlineStr">
        <is>
          <t>Não</t>
        </is>
      </c>
      <c r="F25" s="4" t="inlineStr"/>
    </row>
    <row r="26">
      <c r="A26" s="4" t="n">
        <v>24</v>
      </c>
      <c r="B26" s="4" t="inlineStr">
        <is>
          <t>ProMorar – Macrodrenagem (Tejipió)</t>
        </is>
      </c>
      <c r="C26" s="4" t="inlineStr">
        <is>
          <t>Requalificações na rede</t>
        </is>
      </c>
      <c r="D26" s="4" t="inlineStr">
        <is>
          <t>Reforço de reservatório e sistema de bombeamento da Avenida Recife</t>
        </is>
      </c>
      <c r="E26" s="4" t="inlineStr">
        <is>
          <t>Não</t>
        </is>
      </c>
      <c r="F26" s="4" t="inlineStr"/>
    </row>
    <row r="27">
      <c r="A27" s="4" t="n">
        <v>25</v>
      </c>
      <c r="B27" s="4" t="inlineStr">
        <is>
          <t>ProMorar – Macrodrenagem (Tejipió)</t>
        </is>
      </c>
      <c r="C27" s="4" t="inlineStr">
        <is>
          <t>Requalificações na rede</t>
        </is>
      </c>
      <c r="D27" s="4" t="inlineStr">
        <is>
          <t>Requalificação da rede de microdrenagem do IPSEP</t>
        </is>
      </c>
      <c r="E27" s="4" t="inlineStr">
        <is>
          <t>Não</t>
        </is>
      </c>
      <c r="F27" s="4" t="inlineStr"/>
    </row>
    <row r="28">
      <c r="A28" s="4" t="n">
        <v>26</v>
      </c>
      <c r="B28" s="4" t="inlineStr">
        <is>
          <t>ProMorar / Defesa Civil – Encostas</t>
        </is>
      </c>
      <c r="C28" s="4" t="inlineStr">
        <is>
          <t>Contenção e drenagem em morros</t>
        </is>
      </c>
      <c r="D28" s="4" t="inlineStr">
        <is>
          <t>Obras de contenção (rip rap, alvenaria armada, solo grampeado, escadarias hidráulicas) em áreas R3 e R4</t>
        </is>
      </c>
      <c r="E28" s="4" t="inlineStr">
        <is>
          <t>Não</t>
        </is>
      </c>
      <c r="F28" s="4" t="inlineStr"/>
    </row>
    <row r="29">
      <c r="A29" s="4" t="n">
        <v>27</v>
      </c>
      <c r="B29" s="4" t="inlineStr">
        <is>
          <t>Defesa Civil – Programa Parceria</t>
        </is>
      </c>
      <c r="C29" s="4" t="inlineStr">
        <is>
          <t>Intervenções locais em áreas vulneráveis</t>
        </is>
      </c>
      <c r="D29" s="4" t="inlineStr">
        <is>
          <t>Obras de pequeno e médio porte: drenagem superficial, contenção e melhorias urbanas</t>
        </is>
      </c>
      <c r="E29" s="4" t="inlineStr">
        <is>
          <t>Não</t>
        </is>
      </c>
      <c r="F29" s="4" t="inlineStr"/>
    </row>
    <row r="30">
      <c r="A30" s="4" t="n">
        <v>28</v>
      </c>
      <c r="B30" s="4" t="inlineStr">
        <is>
          <t>Defesa Civil – Planos de Intervenção</t>
        </is>
      </c>
      <c r="C30" s="4" t="inlineStr">
        <is>
          <t>Planejamento territorial de risco</t>
        </is>
      </c>
      <c r="D30" s="4" t="inlineStr">
        <is>
          <t>72 planos em áreas críticas com proposição de soluções específicas</t>
        </is>
      </c>
      <c r="E30" s="4" t="inlineStr">
        <is>
          <t>Não</t>
        </is>
      </c>
      <c r="F30" s="4" t="inlineStr"/>
    </row>
    <row r="31"/>
    <row r="32">
      <c r="D32" s="5" t="inlineStr">
        <is>
          <t>Inseridas:</t>
        </is>
      </c>
      <c r="E32">
        <f>COUNTIF(E5:E30,"Sim")&amp;" de "&amp;(26-COUNTIF(E5:E30,"Não se aplica"))</f>
        <v/>
      </c>
    </row>
  </sheetData>
  <conditionalFormatting sqref="A5:F30">
    <cfRule type="expression" priority="1" dxfId="0">
      <formula>$E5="Sim"</formula>
    </cfRule>
    <cfRule type="expression" priority="2" dxfId="1">
      <formula>$E5="Não se aplica"</formula>
    </cfRule>
  </conditionalFormatting>
  <dataValidations count="1">
    <dataValidation sqref="E5:E30" showDropDown="0" showInputMessage="0" showErrorMessage="0" allowBlank="1" type="list">
      <formula1>"Sim,Não,Não se aplica"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2026-10-06T21:09:05Z</dcterms:created>
  <dcterms:modified xmlns:dcterms="http://purl.org/dc/terms/" xmlns:xsi="http://www.w3.org/2001/XMLSchema-instance" xsi:type="dcterms:W3CDTF">2026-10-06T21:38:40Z</dcterms:modified>
</cp:coreProperties>
</file>