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subcritérios" sheetId="1" state="visible" r:id="rId1"/>
  </sheets>
  <definedNames>
    <definedName name="_xlnm._FilterDatabase" localSheetId="0" hidden="1">'Checklist subcritérios'!$A$4:$Q$19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4F9EE"/>
      </patternFill>
    </fill>
    <fill>
      <patternFill patternType="solid">
        <fgColor rgb="00FFF9E5"/>
      </patternFill>
    </fill>
    <fill>
      <patternFill patternType="solid">
        <fgColor rgb="00FDE9D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2" customWidth="1" min="3" max="3"/>
    <col width="34" customWidth="1" min="4" max="4"/>
    <col width="12" customWidth="1" min="5" max="5"/>
    <col width="15" customWidth="1" min="6" max="6"/>
    <col width="15" customWidth="1" min="7" max="7"/>
    <col width="15" customWidth="1" min="8" max="8"/>
    <col width="15" customWidth="1" min="9" max="9"/>
    <col width="17" customWidth="1" min="10" max="10"/>
    <col width="22" customWidth="1" min="11" max="11"/>
    <col width="24" customWidth="1" min="12" max="12"/>
    <col width="34" customWidth="1" min="13" max="13"/>
    <col width="12" customWidth="1" min="14" max="14"/>
    <col width="12" customWidth="1" min="15" max="15"/>
    <col width="34" customWidth="1" min="16" max="16"/>
    <col width="30" customWidth="1" min="17" max="17"/>
  </cols>
  <sheetData>
    <row r="1">
      <c r="A1" s="1" t="inlineStr">
        <is>
          <t>Recife Resiliente — Subcritérios, notas, fontes e checklist dos dados (RPA 6)</t>
        </is>
      </c>
    </row>
    <row r="2" ht="44" customHeight="1">
      <c r="A2" s="2" t="inlineStr">
        <is>
          <t>Proposta de 02/10/2026 (Pedro + Claude), não validada pelo grupo. Nota 5 = mais crítico. Faixa fixa = valor absoluto (provisória: calibrar com os dados reais). Quintil = nota relativa entre os 21 pontos (Quintil 1 = 20% com menor valor). Preencha as colunas amarelas (N, O e P): Sim / Não / Parcial / Pendente. 'Fonte confirmada' = a base existe e é acessível; 'Dado existe na fonte' = a variável está lá, na escala do círculo de 300 m, e cobre os 21 pontos.</t>
        </is>
      </c>
    </row>
    <row r="4">
      <c r="A4" s="3" t="inlineStr">
        <is>
          <t>Critério</t>
        </is>
      </c>
      <c r="B4" s="3" t="inlineStr">
        <is>
          <t>Código</t>
        </is>
      </c>
      <c r="C4" s="3" t="inlineStr">
        <is>
          <t>Subcritério</t>
        </is>
      </c>
      <c r="D4" s="3" t="inlineStr">
        <is>
          <t>Como medir</t>
        </is>
      </c>
      <c r="E4" s="3" t="inlineStr">
        <is>
          <t>Tipo de nota</t>
        </is>
      </c>
      <c r="F4" s="3" t="inlineStr">
        <is>
          <t>Nota 1</t>
        </is>
      </c>
      <c r="G4" s="3" t="inlineStr">
        <is>
          <t>Nota 2</t>
        </is>
      </c>
      <c r="H4" s="3" t="inlineStr">
        <is>
          <t>Nota 3</t>
        </is>
      </c>
      <c r="I4" s="3" t="inlineStr">
        <is>
          <t>Nota 4</t>
        </is>
      </c>
      <c r="J4" s="3" t="inlineStr">
        <is>
          <t>Nota 5</t>
        </is>
      </c>
      <c r="K4" s="3" t="inlineStr">
        <is>
          <t>Origem da faixa</t>
        </is>
      </c>
      <c r="L4" s="3" t="inlineStr">
        <is>
          <t>Recomendação</t>
        </is>
      </c>
      <c r="M4" s="3" t="inlineStr">
        <is>
          <t>Fonte</t>
        </is>
      </c>
      <c r="N4" s="3" t="inlineStr">
        <is>
          <t>Fonte confirmada?</t>
        </is>
      </c>
      <c r="O4" s="3" t="inlineStr">
        <is>
          <t>Dado existe na fonte?</t>
        </is>
      </c>
      <c r="P4" s="3" t="inlineStr">
        <is>
          <t>Observação</t>
        </is>
      </c>
      <c r="Q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de alagamento</t>
        </is>
      </c>
      <c r="D5" s="6" t="inlineStr">
        <is>
          <t>Média de eventos por ano nas 3 últimas estações chuvosas</t>
        </is>
      </c>
      <c r="E5" s="7" t="inlineStr">
        <is>
          <t>Faixa fixa</t>
        </is>
      </c>
      <c r="F5" s="8" t="inlineStr">
        <is>
          <t>&lt; 1</t>
        </is>
      </c>
      <c r="G5" s="9" t="inlineStr">
        <is>
          <t>1–2</t>
        </is>
      </c>
      <c r="H5" s="10" t="inlineStr">
        <is>
          <t>3–4</t>
        </is>
      </c>
      <c r="I5" s="11" t="inlineStr">
        <is>
          <t>5–6</t>
        </is>
      </c>
      <c r="J5" s="12" t="inlineStr">
        <is>
          <t>≥ 7</t>
        </is>
      </c>
      <c r="K5" s="6" t="inlineStr">
        <is>
          <t>Planilha original (provisória)</t>
        </is>
      </c>
      <c r="L5" s="6" t="inlineStr">
        <is>
          <t>Manter — peso alto</t>
        </is>
      </c>
      <c r="M5" s="6" t="inlineStr">
        <is>
          <t>Ficha preenchida com a EMLURB (agora); ocorrências do COP e da Defesa Civil (confirmação)</t>
        </is>
      </c>
      <c r="N5" s="13" t="inlineStr">
        <is>
          <t>Pendente</t>
        </is>
      </c>
      <c r="O5" s="13" t="inlineStr">
        <is>
          <t>Pendente</t>
        </is>
      </c>
      <c r="P5" s="14" t="inlineStr">
        <is>
          <t>Pedido ao COP via tutora/CGM. 156 só para conferir. Calibrar faixas com a distribuição real.</t>
        </is>
      </c>
      <c r="Q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</t>
        </is>
      </c>
      <c r="D6" s="6" t="inlineStr">
        <is>
          <t>Altura máxima da água e tempo para baixar; nota = média das duas notas, arredondada para cima</t>
        </is>
      </c>
      <c r="E6" s="7" t="inlineStr">
        <is>
          <t>Faixa fixa</t>
        </is>
      </c>
      <c r="F6" s="8" t="inlineStr">
        <is>
          <t>Altura &lt; 10 cm / baixa em &lt; 1 h</t>
        </is>
      </c>
      <c r="G6" s="9" t="inlineStr">
        <is>
          <t>10–30 cm (tornozelo) / 1–3 h</t>
        </is>
      </c>
      <c r="H6" s="10" t="inlineStr">
        <is>
          <t>30–50 cm (joelho) / 3–6 h</t>
        </is>
      </c>
      <c r="I6" s="11" t="inlineStr">
        <is>
          <t>50–100 cm (cintura) / 6–12 h</t>
        </is>
      </c>
      <c r="J6" s="12" t="inlineStr">
        <is>
          <t>&gt; 100 cm / &gt; 12 h</t>
        </is>
      </c>
      <c r="K6" s="6" t="inlineStr">
        <is>
          <t>Planilha original (provisória); regra da média: proposta Claude</t>
        </is>
      </c>
      <c r="L6" s="6" t="inlineStr">
        <is>
          <t>Manter — peso alto</t>
        </is>
      </c>
      <c r="M6" s="6" t="inlineStr">
        <is>
          <t>Ficha EMLURB; escuta com Defesa Civil e moradores</t>
        </is>
      </c>
      <c r="N6" s="13" t="inlineStr">
        <is>
          <t>Pendente</t>
        </is>
      </c>
      <c r="O6" s="13" t="inlineStr">
        <is>
          <t>Pendente</t>
        </is>
      </c>
      <c r="P6" s="14" t="inlineStr">
        <is>
          <t>Extensão da mancha fica registrada como informação, sem nota própria.</t>
        </is>
      </c>
      <c r="Q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O escoamento trava com a maré alta?</t>
        </is>
      </c>
      <c r="E7" s="7" t="inlineStr">
        <is>
          <t>Classe</t>
        </is>
      </c>
      <c r="F7" s="8" t="inlineStr">
        <is>
          <t>Não influencia</t>
        </is>
      </c>
      <c r="G7" s="9" t="inlineStr">
        <is>
          <t>—</t>
        </is>
      </c>
      <c r="H7" s="10" t="inlineStr">
        <is>
          <t>Agrava ocasionalmente</t>
        </is>
      </c>
      <c r="I7" s="11" t="inlineStr">
        <is>
          <t>—</t>
        </is>
      </c>
      <c r="J7" s="12" t="inlineStr">
        <is>
          <t>Alaga dependendo da maré / escoamento bloqueado</t>
        </is>
      </c>
      <c r="K7" s="6" t="inlineStr">
        <is>
          <t>Planilha original</t>
        </is>
      </c>
      <c r="L7" s="6" t="inlineStr">
        <is>
          <t>Manter</t>
        </is>
      </c>
      <c r="M7" s="6" t="inlineStr">
        <is>
          <t>Ficha EMLURB; APAC; tábua de marés</t>
        </is>
      </c>
      <c r="N7" s="13" t="inlineStr">
        <is>
          <t>Pendente</t>
        </is>
      </c>
      <c r="O7" s="13" t="inlineStr">
        <is>
          <t>Pendente</t>
        </is>
      </c>
      <c r="P7" s="14" t="inlineStr">
        <is>
          <t>Notas 2 e 4 ficam para casos intermediários, se a EMLURB indicar.</t>
        </is>
      </c>
      <c r="Q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Distância do ponto ao curso d'água mais próximo (m); quanto mais perto, maior a nota</t>
        </is>
      </c>
      <c r="E8" s="7" t="inlineStr">
        <is>
          <t>Quintil (invertido)</t>
        </is>
      </c>
      <c r="F8" s="8" t="inlineStr">
        <is>
          <t>Quintil mais distante</t>
        </is>
      </c>
      <c r="G8" s="9" t="inlineStr">
        <is>
          <t>Quintil 2</t>
        </is>
      </c>
      <c r="H8" s="10" t="inlineStr">
        <is>
          <t>Quintil 3</t>
        </is>
      </c>
      <c r="I8" s="11" t="inlineStr">
        <is>
          <t>Quintil 4</t>
        </is>
      </c>
      <c r="J8" s="12" t="inlineStr">
        <is>
          <t>Quintil mais próximo</t>
        </is>
      </c>
      <c r="K8" s="6" t="inlineStr">
        <is>
          <t>Regra de quintis da planilha original</t>
        </is>
      </c>
      <c r="L8" s="6" t="inlineStr">
        <is>
          <t>Manter — peso menor (suscetibilidade)</t>
        </is>
      </c>
      <c r="M8" s="6" t="inlineStr">
        <is>
          <t>Shapefile próprio da rede hidrográfica; ESIG – recursos hídricos</t>
        </is>
      </c>
      <c r="N8" s="13" t="inlineStr">
        <is>
          <t>Pendente</t>
        </is>
      </c>
      <c r="O8" s="13" t="inlineStr">
        <is>
          <t>Pendente</t>
        </is>
      </c>
      <c r="P8" s="14" t="inlineStr">
        <is>
          <t>Reprojetar para EPSG:31985. Conferir se os canais estão no arquivo.</t>
        </is>
      </c>
      <c r="Q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</t>
        </is>
      </c>
      <c r="D9" s="6" t="inlineStr">
        <is>
          <t>% do círculo de 300 m com vegetação ou solo permeável; quanto menos verde, maior a nota</t>
        </is>
      </c>
      <c r="E9" s="7" t="inlineStr">
        <is>
          <t>Faixa fixa</t>
        </is>
      </c>
      <c r="F9" s="8" t="inlineStr">
        <is>
          <t>&gt; 40%</t>
        </is>
      </c>
      <c r="G9" s="9" t="inlineStr">
        <is>
          <t>30–40%</t>
        </is>
      </c>
      <c r="H9" s="10" t="inlineStr">
        <is>
          <t>20–30%</t>
        </is>
      </c>
      <c r="I9" s="11" t="inlineStr">
        <is>
          <t>10–20%</t>
        </is>
      </c>
      <c r="J9" s="12" t="inlineStr">
        <is>
          <t>&lt; 10%</t>
        </is>
      </c>
      <c r="K9" s="6" t="inlineStr">
        <is>
          <t>Planilha original (provisória)</t>
        </is>
      </c>
      <c r="L9" s="6" t="inlineStr">
        <is>
          <t>Manter — peso menor (suscetibilidade)</t>
        </is>
      </c>
      <c r="M9" s="6" t="inlineStr">
        <is>
          <t>MapBiomas (30 m); alternativa: edificações do ESIG</t>
        </is>
      </c>
      <c r="N9" s="13" t="inlineStr">
        <is>
          <t>Pendente</t>
        </is>
      </c>
      <c r="O9" s="13" t="inlineStr">
        <is>
          <t>Pendente</t>
        </is>
      </c>
      <c r="P9" s="14" t="inlineStr">
        <is>
          <t>Se quase todos os pontos ficarem em &lt; 10%, trocar por quintis.</t>
        </is>
      </c>
      <c r="Q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Baixio</t>
        </is>
      </c>
      <c r="D10" s="6" t="inlineStr">
        <is>
          <t>Cota do ponto menos a cota média do círculo (m); quanto mais baixo, maior a nota</t>
        </is>
      </c>
      <c r="E10" s="7" t="inlineStr">
        <is>
          <t>Quintil (invertido)</t>
        </is>
      </c>
      <c r="F10" s="8" t="inlineStr">
        <is>
          <t>Quintil mais alto</t>
        </is>
      </c>
      <c r="G10" s="9" t="inlineStr">
        <is>
          <t>Quintil 2</t>
        </is>
      </c>
      <c r="H10" s="10" t="inlineStr">
        <is>
          <t>Quintil 3</t>
        </is>
      </c>
      <c r="I10" s="11" t="inlineStr">
        <is>
          <t>Quintil 4</t>
        </is>
      </c>
      <c r="J10" s="12" t="inlineStr">
        <is>
          <t>Quintil mais baixo</t>
        </is>
      </c>
      <c r="K10" s="6" t="inlineStr">
        <is>
          <t>Proposta Claude (quintis)</t>
        </is>
      </c>
      <c r="L10" s="6" t="inlineStr">
        <is>
          <t>Condicional — só com curvas de nível ou modelo de terreno</t>
        </is>
      </c>
      <c r="M10" s="6" t="inlineStr">
        <is>
          <t>ESIG (curvas de nível, a verificar); topografia da Prefeitura</t>
        </is>
      </c>
      <c r="N10" s="13" t="inlineStr">
        <is>
          <t>Pendente</t>
        </is>
      </c>
      <c r="O10" s="13" t="inlineStr">
        <is>
          <t>Pendente</t>
        </is>
      </c>
      <c r="P10" s="14" t="inlineStr">
        <is>
          <t>Medida mais objetiva de acúmulo de água.</t>
        </is>
      </c>
      <c r="Q10" s="6" t="inlineStr">
        <is>
          <t>Não encontrado modelo de terreno público na busca.</t>
        </is>
      </c>
    </row>
    <row r="11">
      <c r="A11" s="15" t="inlineStr">
        <is>
          <t>Exposição</t>
        </is>
      </c>
      <c r="B11" s="8" t="inlineStr">
        <is>
          <t>E1</t>
        </is>
      </c>
      <c r="C11" s="6" t="inlineStr">
        <is>
          <t>População</t>
        </is>
      </c>
      <c r="D11" s="6" t="inlineStr">
        <is>
          <t>Moradores no círculo de 300 m (soma de população × fração da célula dentro do círculo)</t>
        </is>
      </c>
      <c r="E11" s="7" t="inlineStr">
        <is>
          <t>Quintil</t>
        </is>
      </c>
      <c r="F11" s="8" t="inlineStr">
        <is>
          <t>Quintil 1 (20% menores)</t>
        </is>
      </c>
      <c r="G11" s="9" t="inlineStr">
        <is>
          <t>Quintil 2</t>
        </is>
      </c>
      <c r="H11" s="10" t="inlineStr">
        <is>
          <t>Quintil 3</t>
        </is>
      </c>
      <c r="I11" s="11" t="inlineStr">
        <is>
          <t>Quintil 4</t>
        </is>
      </c>
      <c r="J11" s="12" t="inlineStr">
        <is>
          <t>Quintil 5 (20% maiores)</t>
        </is>
      </c>
      <c r="K11" s="6" t="inlineStr">
        <is>
          <t>Planilha original</t>
        </is>
      </c>
      <c r="L11" s="6" t="inlineStr">
        <is>
          <t>Manter</t>
        </is>
      </c>
      <c r="M11" s="6" t="inlineStr">
        <is>
          <t>IBGE — Grade Estatística 2022 (células de 200 × 200 m)</t>
        </is>
      </c>
      <c r="N11" s="13" t="inlineStr">
        <is>
          <t>Pendente</t>
        </is>
      </c>
      <c r="O11" s="13" t="inlineStr">
        <is>
          <t>Pendente</t>
        </is>
      </c>
      <c r="P11" s="14" t="inlineStr">
        <is>
          <t>No painel, mostrar também o valor em 1 km.</t>
        </is>
      </c>
      <c r="Q11" s="6" t="inlineStr">
        <is>
          <t>Confirmado na busca (não baixado).</t>
        </is>
      </c>
    </row>
    <row r="12">
      <c r="A12" s="15" t="inlineStr">
        <is>
          <t>Exposição</t>
        </is>
      </c>
      <c r="B12" s="8" t="inlineStr">
        <is>
          <t>E2</t>
        </is>
      </c>
      <c r="C12" s="6" t="inlineStr">
        <is>
          <t>Equipamentos sensíveis</t>
        </is>
      </c>
      <c r="D12" s="6" t="inlineStr">
        <is>
          <t>Nº de escolas, creches e unidades de saúde no círculo</t>
        </is>
      </c>
      <c r="E12" s="7" t="inlineStr">
        <is>
          <t>Faixa fixa</t>
        </is>
      </c>
      <c r="F12" s="8" t="inlineStr">
        <is>
          <t>Nenhum</t>
        </is>
      </c>
      <c r="G12" s="9" t="inlineStr">
        <is>
          <t>1</t>
        </is>
      </c>
      <c r="H12" s="10" t="inlineStr">
        <is>
          <t>2</t>
        </is>
      </c>
      <c r="I12" s="11" t="inlineStr">
        <is>
          <t>3–4</t>
        </is>
      </c>
      <c r="J12" s="12" t="inlineStr">
        <is>
          <t>≥ 5 ou hospital/UPA no círculo</t>
        </is>
      </c>
      <c r="K12" s="6" t="inlineStr">
        <is>
          <t>Proposta Claude (provisória)</t>
        </is>
      </c>
      <c r="L12" s="6" t="inlineStr">
        <is>
          <t>Manter</t>
        </is>
      </c>
      <c r="M12" s="6" t="inlineStr">
        <is>
          <t>IBGE — CNEFE 2022 (ensino e saúde); CNES/DATASUS</t>
        </is>
      </c>
      <c r="N12" s="13" t="inlineStr">
        <is>
          <t>Pendente</t>
        </is>
      </c>
      <c r="O12" s="13" t="inlineStr">
        <is>
          <t>Pendente</t>
        </is>
      </c>
      <c r="P12" s="14" t="inlineStr">
        <is>
          <t>Calibrar com as contagens reais. Conferir se creches aparecem como 'ensino'.</t>
        </is>
      </c>
      <c r="Q12" s="6" t="inlineStr">
        <is>
          <t>CNEFE confirmado na busca (não baixado).</t>
        </is>
      </c>
    </row>
    <row r="13">
      <c r="A13" s="15" t="inlineStr">
        <is>
          <t>Exposição</t>
        </is>
      </c>
      <c r="B13" s="8" t="inlineStr">
        <is>
          <t>E3</t>
        </is>
      </c>
      <c r="C13" s="6" t="inlineStr">
        <is>
          <t>Atividade econômica</t>
        </is>
      </c>
      <c r="D13" s="6" t="inlineStr">
        <is>
          <t>Nº de comércios e serviços no círculo</t>
        </is>
      </c>
      <c r="E13" s="7" t="inlineStr">
        <is>
          <t>Quintil</t>
        </is>
      </c>
      <c r="F13" s="8" t="inlineStr">
        <is>
          <t>Quintil 1 (20% menores)</t>
        </is>
      </c>
      <c r="G13" s="9" t="inlineStr">
        <is>
          <t>Quintil 2</t>
        </is>
      </c>
      <c r="H13" s="10" t="inlineStr">
        <is>
          <t>Quintil 3</t>
        </is>
      </c>
      <c r="I13" s="11" t="inlineStr">
        <is>
          <t>Quintil 4</t>
        </is>
      </c>
      <c r="J13" s="12" t="inlineStr">
        <is>
          <t>Quintil 5 (20% maiores)</t>
        </is>
      </c>
      <c r="K13" s="6" t="inlineStr">
        <is>
          <t>Planilha original</t>
        </is>
      </c>
      <c r="L13" s="6" t="inlineStr">
        <is>
          <t>Manter</t>
        </is>
      </c>
      <c r="M13" s="6" t="inlineStr">
        <is>
          <t>IBGE — CNEFE 2022 (outras finalidades)</t>
        </is>
      </c>
      <c r="N13" s="13" t="inlineStr">
        <is>
          <t>Pendente</t>
        </is>
      </c>
      <c r="O13" s="13" t="inlineStr">
        <is>
          <t>Pendente</t>
        </is>
      </c>
      <c r="P13" s="14" t="inlineStr">
        <is>
          <t>'Outras finalidades' pode incluir templos e órgãos públicos.</t>
        </is>
      </c>
      <c r="Q13" s="6" t="inlineStr">
        <is>
          <t>CNEFE confirmado na busca (não baixado).</t>
        </is>
      </c>
    </row>
    <row r="14">
      <c r="A14" s="16" t="inlineStr">
        <is>
          <t>Vulnerabilidade</t>
        </is>
      </c>
      <c r="B14" s="17" t="inlineStr">
        <is>
          <t>V2</t>
        </is>
      </c>
      <c r="C14" s="6" t="inlineStr">
        <is>
          <t>Grupos sensíveis</t>
        </is>
      </c>
      <c r="D14" s="6" t="inlineStr">
        <is>
          <t>% de moradores com 60+ anos ou 0–4 anos nos setores do círculo (ponderado pela área)</t>
        </is>
      </c>
      <c r="E14" s="7" t="inlineStr">
        <is>
          <t>Quintil</t>
        </is>
      </c>
      <c r="F14" s="8" t="inlineStr">
        <is>
          <t>Quintil 1 (20% menores)</t>
        </is>
      </c>
      <c r="G14" s="9" t="inlineStr">
        <is>
          <t>Quintil 2</t>
        </is>
      </c>
      <c r="H14" s="10" t="inlineStr">
        <is>
          <t>Quintil 3</t>
        </is>
      </c>
      <c r="I14" s="11" t="inlineStr">
        <is>
          <t>Quintil 4</t>
        </is>
      </c>
      <c r="J14" s="12" t="inlineStr">
        <is>
          <t>Quintil 5 (20% maiores)</t>
        </is>
      </c>
      <c r="K14" s="6" t="inlineStr">
        <is>
          <t>Planilha original</t>
        </is>
      </c>
      <c r="L14" s="6" t="inlineStr">
        <is>
          <t>Manter</t>
        </is>
      </c>
      <c r="M14" s="6" t="inlineStr">
        <is>
          <t>IBGE — Agregados por setor 2022 (idade)</t>
        </is>
      </c>
      <c r="N14" s="13" t="inlineStr">
        <is>
          <t>Pendente</t>
        </is>
      </c>
      <c r="O14" s="13" t="inlineStr">
        <is>
          <t>Pendente</t>
        </is>
      </c>
      <c r="P14" s="14" t="inlineStr"/>
      <c r="Q14" s="6" t="inlineStr">
        <is>
          <t>Idade por setor confirmada na busca (não baixado).</t>
        </is>
      </c>
    </row>
    <row r="15">
      <c r="A15" s="16" t="inlineStr">
        <is>
          <t>Vulnerabilidade</t>
        </is>
      </c>
      <c r="B15" s="17" t="inlineStr">
        <is>
          <t>V3</t>
        </is>
      </c>
      <c r="C15" s="6" t="inlineStr">
        <is>
          <t>Favelas e comunidades urbanas</t>
        </is>
      </c>
      <c r="D15" s="6" t="inlineStr">
        <is>
          <t>% da área do círculo em favelas e comunidades urbanas</t>
        </is>
      </c>
      <c r="E15" s="7" t="inlineStr">
        <is>
          <t>Faixa fixa</t>
        </is>
      </c>
      <c r="F15" s="8" t="inlineStr">
        <is>
          <t>0%</t>
        </is>
      </c>
      <c r="G15" s="9" t="inlineStr">
        <is>
          <t>&lt; 10%</t>
        </is>
      </c>
      <c r="H15" s="10" t="inlineStr">
        <is>
          <t>10–25%</t>
        </is>
      </c>
      <c r="I15" s="11" t="inlineStr">
        <is>
          <t>25–50%</t>
        </is>
      </c>
      <c r="J15" s="12" t="inlineStr">
        <is>
          <t>&gt; 50%</t>
        </is>
      </c>
      <c r="K15" s="6" t="inlineStr">
        <is>
          <t>Proposta Claude (provisória)</t>
        </is>
      </c>
      <c r="L15" s="6" t="inlineStr">
        <is>
          <t>Manter — substitui o V1 se a malha 2022 existir</t>
        </is>
      </c>
      <c r="M15" s="6" t="inlineStr">
        <is>
          <t>IBGE — Favelas e Comunidades Urbanas 2022 (malha)</t>
        </is>
      </c>
      <c r="N15" s="13" t="inlineStr">
        <is>
          <t>Pendente</t>
        </is>
      </c>
      <c r="O15" s="13" t="inlineStr">
        <is>
          <t>Pendente</t>
        </is>
      </c>
      <c r="P15" s="14" t="inlineStr">
        <is>
          <t>Mais atual que o IVS (2010).</t>
        </is>
      </c>
      <c r="Q15" s="6" t="inlineStr">
        <is>
          <t>Não verificado.</t>
        </is>
      </c>
    </row>
    <row r="16">
      <c r="A16" s="16" t="inlineStr">
        <is>
          <t>Vulnerabilidade</t>
        </is>
      </c>
      <c r="B16" s="17" t="inlineStr">
        <is>
          <t>V4</t>
        </is>
      </c>
      <c r="C16" s="6" t="inlineStr">
        <is>
          <t>Tipo de moradia</t>
        </is>
      </c>
      <c r="D16" s="6" t="inlineStr">
        <is>
          <t>% de domicílios do tipo casa nos setores do círculo</t>
        </is>
      </c>
      <c r="E16" s="7" t="inlineStr">
        <is>
          <t>Quintil</t>
        </is>
      </c>
      <c r="F16" s="8" t="inlineStr">
        <is>
          <t>Quintil 1 (20% menores)</t>
        </is>
      </c>
      <c r="G16" s="9" t="inlineStr">
        <is>
          <t>Quintil 2</t>
        </is>
      </c>
      <c r="H16" s="10" t="inlineStr">
        <is>
          <t>Quintil 3</t>
        </is>
      </c>
      <c r="I16" s="11" t="inlineStr">
        <is>
          <t>Quintil 4</t>
        </is>
      </c>
      <c r="J16" s="12" t="inlineStr">
        <is>
          <t>Quintil 5 (20% maiores)</t>
        </is>
      </c>
      <c r="K16" s="6" t="inlineStr">
        <is>
          <t>Proposta Claude (quintis)</t>
        </is>
      </c>
      <c r="L16" s="6" t="inlineStr">
        <is>
          <t>Manter</t>
        </is>
      </c>
      <c r="M16" s="6" t="inlineStr">
        <is>
          <t>IBGE — Agregados por setor 2022 (tipo de domicílio)</t>
        </is>
      </c>
      <c r="N16" s="13" t="inlineStr">
        <is>
          <t>Pendente</t>
        </is>
      </c>
      <c r="O16" s="13" t="inlineStr">
        <is>
          <t>Pendente</t>
        </is>
      </c>
      <c r="P16" s="14" t="inlineStr">
        <is>
          <t>Casa térrea é mais atingida que apartamento.</t>
        </is>
      </c>
      <c r="Q16" s="6" t="inlineStr">
        <is>
          <t>Não verificado se a variável está no arquivo por setor.</t>
        </is>
      </c>
    </row>
    <row r="17">
      <c r="A17" s="16" t="inlineStr">
        <is>
          <t>Vulnerabilidade</t>
        </is>
      </c>
      <c r="B17" s="17" t="inlineStr">
        <is>
          <t>V1</t>
        </is>
      </c>
      <c r="C17" s="6" t="inlineStr">
        <is>
          <t>Vulnerabilidade social (IVS)</t>
        </is>
      </c>
      <c r="D17" s="6" t="inlineStr">
        <is>
          <t>Maior IVS entre as UDHs que tocam o círculo</t>
        </is>
      </c>
      <c r="E17" s="7" t="inlineStr">
        <is>
          <t>Faixa fixa</t>
        </is>
      </c>
      <c r="F17" s="8" t="inlineStr">
        <is>
          <t>Muito baixa (0–0,200)</t>
        </is>
      </c>
      <c r="G17" s="9" t="inlineStr">
        <is>
          <t>Baixa (0,201–0,300)</t>
        </is>
      </c>
      <c r="H17" s="10" t="inlineStr">
        <is>
          <t>Média (0,301–0,400)</t>
        </is>
      </c>
      <c r="I17" s="11" t="inlineStr">
        <is>
          <t>Alta (0,401–0,500)</t>
        </is>
      </c>
      <c r="J17" s="12" t="inlineStr">
        <is>
          <t>Muito alta (&gt; 0,500)</t>
        </is>
      </c>
      <c r="K17" s="6" t="inlineStr">
        <is>
          <t>Faixas do Ipea (conferir no Atlas)</t>
        </is>
      </c>
      <c r="L17" s="6" t="inlineStr">
        <is>
          <t>Plano B — só se o V3 não estiver disponível</t>
        </is>
      </c>
      <c r="M17" s="6" t="inlineStr">
        <is>
          <t>Ipea — Atlas da Vulnerabilidade Social (UDH)</t>
        </is>
      </c>
      <c r="N17" s="13" t="inlineStr">
        <is>
          <t>Pendente</t>
        </is>
      </c>
      <c r="O17" s="13" t="inlineStr">
        <is>
          <t>Pendente</t>
        </is>
      </c>
      <c r="P17" s="14" t="inlineStr">
        <is>
          <t>Base do Censo 2010.</t>
        </is>
      </c>
      <c r="Q17" s="6" t="inlineStr">
        <is>
          <t>Site confirmado na busca; faixas e ano-base a confirmar.</t>
        </is>
      </c>
    </row>
    <row r="18">
      <c r="A18" s="18" t="inlineStr">
        <is>
          <t>Impacto</t>
        </is>
      </c>
      <c r="B18" s="19" t="inlineStr">
        <is>
          <t>I1</t>
        </is>
      </c>
      <c r="C18" s="6" t="inlineStr">
        <is>
          <t>Mobilidade</t>
        </is>
      </c>
      <c r="D18" s="6" t="inlineStr">
        <is>
          <t>Classe da via mais importante afetada pelo alagamento; +1 se houver interdição registrada pela CTTU (máximo 5)</t>
        </is>
      </c>
      <c r="E18" s="7" t="inlineStr">
        <is>
          <t>Classe</t>
        </is>
      </c>
      <c r="F18" s="8" t="inlineStr">
        <is>
          <t>Via local ou de pedestres</t>
        </is>
      </c>
      <c r="G18" s="9" t="inlineStr">
        <is>
          <t>Coletora</t>
        </is>
      </c>
      <c r="H18" s="10" t="inlineStr">
        <is>
          <t>Arterial secundária</t>
        </is>
      </c>
      <c r="I18" s="11" t="inlineStr">
        <is>
          <t>Arterial principal</t>
        </is>
      </c>
      <c r="J18" s="12" t="inlineStr">
        <is>
          <t>Trânsito rápido ou corredor de ônibus</t>
        </is>
      </c>
      <c r="K18" s="6" t="inlineStr">
        <is>
          <t>Proposta Claude, a partir da classificação viária usada na planilha original</t>
        </is>
      </c>
      <c r="L18" s="6" t="inlineStr">
        <is>
          <t>Manter</t>
        </is>
      </c>
      <c r="M18" s="6" t="inlineStr">
        <is>
          <t>Hierarquia viária (ESIG / CTTU); OSM; paradas (Grande Recife); interdições (CTTU)</t>
        </is>
      </c>
      <c r="N18" s="13" t="inlineStr">
        <is>
          <t>Pendente</t>
        </is>
      </c>
      <c r="O18" s="13" t="inlineStr">
        <is>
          <t>Pendente</t>
        </is>
      </c>
      <c r="P18" s="14" t="inlineStr">
        <is>
          <t>Pedir a Antônio (CTTU): hierarquia viária, linhas e registro de interdições.</t>
        </is>
      </c>
      <c r="Q18" s="6" t="inlineStr">
        <is>
          <t>Vias no ESIG confirmadas na busca; ônibus e interdições não verificados.</t>
        </is>
      </c>
    </row>
    <row r="19">
      <c r="A19" s="18" t="inlineStr">
        <is>
          <t>Impacto</t>
        </is>
      </c>
      <c r="B19" s="19" t="inlineStr">
        <is>
          <t>I2</t>
        </is>
      </c>
      <c r="C19" s="6" t="inlineStr">
        <is>
          <t>Risco sanitário</t>
        </is>
      </c>
      <c r="D19" s="6" t="inlineStr">
        <is>
          <t>% de domicílios sem ligação à rede de esgoto nos setores do círculo</t>
        </is>
      </c>
      <c r="E19" s="7" t="inlineStr">
        <is>
          <t>Quintil</t>
        </is>
      </c>
      <c r="F19" s="8" t="inlineStr">
        <is>
          <t>Quintil 1 (20% menores)</t>
        </is>
      </c>
      <c r="G19" s="9" t="inlineStr">
        <is>
          <t>Quintil 2</t>
        </is>
      </c>
      <c r="H19" s="10" t="inlineStr">
        <is>
          <t>Quintil 3</t>
        </is>
      </c>
      <c r="I19" s="11" t="inlineStr">
        <is>
          <t>Quintil 4</t>
        </is>
      </c>
      <c r="J19" s="12" t="inlineStr">
        <is>
          <t>Quintil 5 (20% maiores)</t>
        </is>
      </c>
      <c r="K19" s="6" t="inlineStr">
        <is>
          <t>Proposta Claude (quintis)</t>
        </is>
      </c>
      <c r="L19" s="6" t="inlineStr">
        <is>
          <t>Manter</t>
        </is>
      </c>
      <c r="M19" s="6" t="inlineStr">
        <is>
          <t>IBGE — Agregados por setor 2022 (esgotamento); Compesa</t>
        </is>
      </c>
      <c r="N19" s="13" t="inlineStr">
        <is>
          <t>Pendente</t>
        </is>
      </c>
      <c r="O19" s="13" t="inlineStr">
        <is>
          <t>Pendente</t>
        </is>
      </c>
      <c r="P19" s="14" t="inlineStr">
        <is>
          <t>Quintis porque a cobertura de esgoto no Recife é baixa e faixas fixas podem saturar.</t>
        </is>
      </c>
      <c r="Q19" s="6" t="inlineStr">
        <is>
          <t>Esgotamento por setor confirmado na busca (não baixado).</t>
        </is>
      </c>
    </row>
    <row r="21">
      <c r="A21" s="20" t="inlineStr">
        <is>
          <t>Resumo</t>
        </is>
      </c>
      <c r="N21" s="21" t="inlineStr">
        <is>
          <t>Fonte confirmada</t>
        </is>
      </c>
      <c r="O21" s="21" t="inlineStr">
        <is>
          <t>Dado existe</t>
        </is>
      </c>
    </row>
    <row r="22">
      <c r="M22" s="22" t="inlineStr">
        <is>
          <t>Sim</t>
        </is>
      </c>
      <c r="N22" s="23">
        <f>COUNTIF(N$5:N$19,$M22)</f>
        <v/>
      </c>
      <c r="O22" s="23">
        <f>COUNTIF(O$5:O$19,$M22)</f>
        <v/>
      </c>
    </row>
    <row r="23">
      <c r="M23" s="22" t="inlineStr">
        <is>
          <t>Parcial</t>
        </is>
      </c>
      <c r="N23" s="23">
        <f>COUNTIF(N$5:N$19,$M23)</f>
        <v/>
      </c>
      <c r="O23" s="23">
        <f>COUNTIF(O$5:O$19,$M23)</f>
        <v/>
      </c>
    </row>
    <row r="24">
      <c r="M24" s="22" t="inlineStr">
        <is>
          <t>Não</t>
        </is>
      </c>
      <c r="N24" s="23">
        <f>COUNTIF(N$5:N$19,$M24)</f>
        <v/>
      </c>
      <c r="O24" s="23">
        <f>COUNTIF(O$5:O$19,$M24)</f>
        <v/>
      </c>
    </row>
    <row r="25">
      <c r="M25" s="22" t="inlineStr">
        <is>
          <t>Pendente</t>
        </is>
      </c>
      <c r="N25" s="23">
        <f>COUNTIF(N$5:N$19,$M25)</f>
        <v/>
      </c>
      <c r="O25" s="23">
        <f>COUNTIF(O$5:O$19,$M25)</f>
        <v/>
      </c>
    </row>
    <row r="26">
      <c r="M26" s="24" t="inlineStr">
        <is>
          <t>Subcritérios com fonte e dado confirmados</t>
        </is>
      </c>
      <c r="O26" s="25">
        <f>COUNTIFS(N5:N19,"Sim",O5:O19,"Sim")&amp;" de "&amp;ROWS(N5:N19)</f>
        <v/>
      </c>
    </row>
  </sheetData>
  <autoFilter ref="A4:Q19"/>
  <mergeCells count="1">
    <mergeCell ref="A2:Q2"/>
  </mergeCells>
  <conditionalFormatting sqref="N5:O19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N5:O19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2026-10-02T16:10:44Z</dcterms:created>
  <dcterms:modified xsi:type="dcterms:W3CDTF">2026-10-02T16:10:44Z</dcterms:modified>
</cp:coreProperties>
</file>