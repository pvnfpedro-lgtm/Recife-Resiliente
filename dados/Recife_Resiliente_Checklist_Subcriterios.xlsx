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subcritérios" sheetId="1" state="visible" r:id="rId1"/>
  </sheets>
  <definedNames>
    <definedName name="_xlnm._FilterDatabase" localSheetId="0" hidden="1">'Checklist subcritérios'!$A$4:$I$19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2F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34" customWidth="1" min="3" max="3"/>
    <col width="30" customWidth="1" min="4" max="4"/>
    <col width="42" customWidth="1" min="5" max="5"/>
    <col width="13" customWidth="1" min="6" max="6"/>
    <col width="13" customWidth="1" min="7" max="7"/>
    <col width="42" customWidth="1" min="8" max="8"/>
    <col width="34" customWidth="1" min="9" max="9"/>
  </cols>
  <sheetData>
    <row r="1">
      <c r="A1" s="1" t="inlineStr">
        <is>
          <t>Recife Resiliente — Subcritérios, fontes e checklist de confirmação dos dados (RPA 6)</t>
        </is>
      </c>
    </row>
    <row r="2" ht="42" customHeight="1">
      <c r="A2" s="2" t="inlineStr">
        <is>
          <t>Proposta de 02/10/2026 (Pedro + Claude), ainda não validada pelo grupo. Preencha as colunas amarelas (F, G e H): Sim / Não / Parcial / Pendente. 'Fonte confirmada' = a base existe e é acessível. 'Dado existe na fonte' = a variável está lá, na escala necessária (círculo de 300 m) e cobre os 21 pontos.</t>
        </is>
      </c>
    </row>
    <row r="4">
      <c r="A4" s="3" t="inlineStr">
        <is>
          <t>Critério</t>
        </is>
      </c>
      <c r="B4" s="3" t="inlineStr">
        <is>
          <t>Código</t>
        </is>
      </c>
      <c r="C4" s="3" t="inlineStr">
        <is>
          <t>Subcritério</t>
        </is>
      </c>
      <c r="D4" s="3" t="inlineStr">
        <is>
          <t>Recomendação</t>
        </is>
      </c>
      <c r="E4" s="3" t="inlineStr">
        <is>
          <t>Fonte</t>
        </is>
      </c>
      <c r="F4" s="3" t="inlineStr">
        <is>
          <t>Fonte confirmada?</t>
        </is>
      </c>
      <c r="G4" s="3" t="inlineStr">
        <is>
          <t>Dado existe na fonte?</t>
        </is>
      </c>
      <c r="H4" s="3" t="inlineStr">
        <is>
          <t>Observação</t>
        </is>
      </c>
      <c r="I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de alagamento (eventos/ano)</t>
        </is>
      </c>
      <c r="D5" s="6" t="inlineStr">
        <is>
          <t>Manter — peso alto</t>
        </is>
      </c>
      <c r="E5" s="6" t="inlineStr">
        <is>
          <t>Ficha preenchida com a EMLURB (agora); registros de ocorrências do COP e da Defesa Civil (confirmação)</t>
        </is>
      </c>
      <c r="F5" s="7" t="inlineStr">
        <is>
          <t>Pendente</t>
        </is>
      </c>
      <c r="G5" s="7" t="inlineStr">
        <is>
          <t>Pendente</t>
        </is>
      </c>
      <c r="H5" s="8" t="inlineStr">
        <is>
          <t>Pedido ao COP via tutora/CGM. Chamados do 156 servem só para conferir, não como subcritério.</t>
        </is>
      </c>
      <c r="I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 (altura da água + tempo para baixar + extensão)</t>
        </is>
      </c>
      <c r="D6" s="6" t="inlineStr">
        <is>
          <t>Manter — peso alto</t>
        </is>
      </c>
      <c r="E6" s="6" t="inlineStr">
        <is>
          <t>Ficha EMLURB; escuta com Defesa Civil e moradores</t>
        </is>
      </c>
      <c r="F6" s="7" t="inlineStr">
        <is>
          <t>Pendente</t>
        </is>
      </c>
      <c r="G6" s="7" t="inlineStr">
        <is>
          <t>Pendente</t>
        </is>
      </c>
      <c r="H6" s="8" t="inlineStr">
        <is>
          <t>Registrar em faixas (tornozelo, joelho, cintura; &lt;1 h a &gt;6 h).</t>
        </is>
      </c>
      <c r="I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Manter</t>
        </is>
      </c>
      <c r="E7" s="6" t="inlineStr">
        <is>
          <t>Ficha EMLURB; APAC; tábua de marés (Marinha / Porto do Recife)</t>
        </is>
      </c>
      <c r="F7" s="7" t="inlineStr">
        <is>
          <t>Pendente</t>
        </is>
      </c>
      <c r="G7" s="7" t="inlineStr">
        <is>
          <t>Pendente</t>
        </is>
      </c>
      <c r="H7" s="8" t="inlineStr">
        <is>
          <t>Relevante nas baixadas e trechos que descem 'até a maré'.</t>
        </is>
      </c>
      <c r="I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Manter — peso menor (suscetibilidade)</t>
        </is>
      </c>
      <c r="E8" s="6" t="inlineStr">
        <is>
          <t>Shapefile próprio da rede hidrográfica (15 feições); ESIG – recursos hídricos</t>
        </is>
      </c>
      <c r="F8" s="7" t="inlineStr">
        <is>
          <t>Pendente</t>
        </is>
      </c>
      <c r="G8" s="7" t="inlineStr">
        <is>
          <t>Pendente</t>
        </is>
      </c>
      <c r="H8" s="8" t="inlineStr">
        <is>
          <t>Reprojetar de WGS 84 para EPSG:31985. Conferir se os canais estão no arquivo, não só rios.</t>
        </is>
      </c>
      <c r="I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 do entorno (% construída no círculo)</t>
        </is>
      </c>
      <c r="D9" s="6" t="inlineStr">
        <is>
          <t>Manter — peso menor (suscetibilidade)</t>
        </is>
      </c>
      <c r="E9" s="6" t="inlineStr">
        <is>
          <t>MapBiomas (cobertura do solo, 30 m); alternativa: edificações do ESIG</t>
        </is>
      </c>
      <c r="F9" s="7" t="inlineStr">
        <is>
          <t>Pendente</t>
        </is>
      </c>
      <c r="G9" s="7" t="inlineStr">
        <is>
          <t>Pendente</t>
        </is>
      </c>
      <c r="H9" s="8" t="inlineStr">
        <is>
          <t>Círculo de 300 m ≈ 300 pixels do MapBiomas.</t>
        </is>
      </c>
      <c r="I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Baixio (cota do ponto em relação ao entorno)</t>
        </is>
      </c>
      <c r="D10" s="6" t="inlineStr">
        <is>
          <t>Condicional — só entra se houver curvas de nível ou modelo de terreno</t>
        </is>
      </c>
      <c r="E10" s="6" t="inlineStr">
        <is>
          <t>ESIG (curvas de nível, a verificar); levantamento topográfico da Prefeitura</t>
        </is>
      </c>
      <c r="F10" s="7" t="inlineStr">
        <is>
          <t>Pendente</t>
        </is>
      </c>
      <c r="G10" s="7" t="inlineStr">
        <is>
          <t>Pendente</t>
        </is>
      </c>
      <c r="H10" s="8" t="inlineStr">
        <is>
          <t>Medida mais objetiva de acúmulo de água.</t>
        </is>
      </c>
      <c r="I10" s="6" t="inlineStr">
        <is>
          <t>Não encontrado modelo de terreno público na busca.</t>
        </is>
      </c>
    </row>
    <row r="11">
      <c r="A11" s="9" t="inlineStr">
        <is>
          <t>Exposição</t>
        </is>
      </c>
      <c r="B11" s="10" t="inlineStr">
        <is>
          <t>E1</t>
        </is>
      </c>
      <c r="C11" s="6" t="inlineStr">
        <is>
          <t>População no círculo de 300 m</t>
        </is>
      </c>
      <c r="D11" s="6" t="inlineStr">
        <is>
          <t>Manter</t>
        </is>
      </c>
      <c r="E11" s="6" t="inlineStr">
        <is>
          <t>IBGE — Grade Estatística 2022 (células de 200 × 200 m)</t>
        </is>
      </c>
      <c r="F11" s="7" t="inlineStr">
        <is>
          <t>Pendente</t>
        </is>
      </c>
      <c r="G11" s="7" t="inlineStr">
        <is>
          <t>Pendente</t>
        </is>
      </c>
      <c r="H11" s="8" t="inlineStr">
        <is>
          <t>Somar população × fração da célula dentro do círculo.</t>
        </is>
      </c>
      <c r="I11" s="6" t="inlineStr">
        <is>
          <t>Confirmado na busca (não baixado).</t>
        </is>
      </c>
    </row>
    <row r="12">
      <c r="A12" s="9" t="inlineStr">
        <is>
          <t>Exposição</t>
        </is>
      </c>
      <c r="B12" s="10" t="inlineStr">
        <is>
          <t>E2</t>
        </is>
      </c>
      <c r="C12" s="6" t="inlineStr">
        <is>
          <t>Equipamentos sensíveis (escolas, creches, unidades de saúde)</t>
        </is>
      </c>
      <c r="D12" s="6" t="inlineStr">
        <is>
          <t>Manter</t>
        </is>
      </c>
      <c r="E12" s="6" t="inlineStr">
        <is>
          <t>IBGE — CNEFE 2022 (endereços de ensino e saúde); CNES/DATASUS</t>
        </is>
      </c>
      <c r="F12" s="7" t="inlineStr">
        <is>
          <t>Pendente</t>
        </is>
      </c>
      <c r="G12" s="7" t="inlineStr">
        <is>
          <t>Pendente</t>
        </is>
      </c>
      <c r="H12" s="8" t="inlineStr">
        <is>
          <t>Conferir se creches aparecem como 'ensino' no CNEFE.</t>
        </is>
      </c>
      <c r="I12" s="6" t="inlineStr">
        <is>
          <t>CNEFE com coordenadas e espécie confirmado na busca (não baixado).</t>
        </is>
      </c>
    </row>
    <row r="13">
      <c r="A13" s="9" t="inlineStr">
        <is>
          <t>Exposição</t>
        </is>
      </c>
      <c r="B13" s="10" t="inlineStr">
        <is>
          <t>E3</t>
        </is>
      </c>
      <c r="C13" s="6" t="inlineStr">
        <is>
          <t>Atividade econômica (comércios e serviços)</t>
        </is>
      </c>
      <c r="D13" s="6" t="inlineStr">
        <is>
          <t>Manter</t>
        </is>
      </c>
      <c r="E13" s="6" t="inlineStr">
        <is>
          <t>IBGE — CNEFE 2022 (endereços de outras finalidades)</t>
        </is>
      </c>
      <c r="F13" s="7" t="inlineStr">
        <is>
          <t>Pendente</t>
        </is>
      </c>
      <c r="G13" s="7" t="inlineStr">
        <is>
          <t>Pendente</t>
        </is>
      </c>
      <c r="H13" s="8" t="inlineStr">
        <is>
          <t>'Outras finalidades' pode incluir templos e órgãos públicos; verificar se dá para separar comércio.</t>
        </is>
      </c>
      <c r="I13" s="6" t="inlineStr">
        <is>
          <t>CNEFE confirmado na busca (não baixado).</t>
        </is>
      </c>
    </row>
    <row r="14">
      <c r="A14" s="11" t="inlineStr">
        <is>
          <t>Vulnerabilidade</t>
        </is>
      </c>
      <c r="B14" s="12" t="inlineStr">
        <is>
          <t>V2</t>
        </is>
      </c>
      <c r="C14" s="6" t="inlineStr">
        <is>
          <t>Grupos sensíveis (% de idosos 60+ e crianças 0–4)</t>
        </is>
      </c>
      <c r="D14" s="6" t="inlineStr">
        <is>
          <t>Manter</t>
        </is>
      </c>
      <c r="E14" s="6" t="inlineStr">
        <is>
          <t>IBGE — Agregados por setor censitário 2022 (idade)</t>
        </is>
      </c>
      <c r="F14" s="7" t="inlineStr">
        <is>
          <t>Pendente</t>
        </is>
      </c>
      <c r="G14" s="7" t="inlineStr">
        <is>
          <t>Pendente</t>
        </is>
      </c>
      <c r="H14" s="8" t="inlineStr">
        <is>
          <t>Ponderar setores pela fração de área dentro do círculo.</t>
        </is>
      </c>
      <c r="I14" s="6" t="inlineStr">
        <is>
          <t>Idade por setor confirmada na busca (não baixado).</t>
        </is>
      </c>
    </row>
    <row r="15">
      <c r="A15" s="11" t="inlineStr">
        <is>
          <t>Vulnerabilidade</t>
        </is>
      </c>
      <c r="B15" s="12" t="inlineStr">
        <is>
          <t>V3</t>
        </is>
      </c>
      <c r="C15" s="6" t="inlineStr">
        <is>
          <t>Favelas e comunidades urbanas (% do círculo)</t>
        </is>
      </c>
      <c r="D15" s="6" t="inlineStr">
        <is>
          <t>Manter — substitui o V1 se a malha 2022 existir</t>
        </is>
      </c>
      <c r="E15" s="6" t="inlineStr">
        <is>
          <t>IBGE — Favelas e Comunidades Urbanas 2022 (malha)</t>
        </is>
      </c>
      <c r="F15" s="7" t="inlineStr">
        <is>
          <t>Pendente</t>
        </is>
      </c>
      <c r="G15" s="7" t="inlineStr">
        <is>
          <t>Pendente</t>
        </is>
      </c>
      <c r="H15" s="8" t="inlineStr">
        <is>
          <t>Mais atual que o IVS (2010).</t>
        </is>
      </c>
      <c r="I15" s="6" t="inlineStr">
        <is>
          <t>Não verificado.</t>
        </is>
      </c>
    </row>
    <row r="16">
      <c r="A16" s="11" t="inlineStr">
        <is>
          <t>Vulnerabilidade</t>
        </is>
      </c>
      <c r="B16" s="12" t="inlineStr">
        <is>
          <t>V4</t>
        </is>
      </c>
      <c r="C16" s="6" t="inlineStr">
        <is>
          <t>Tipo de moradia (% de domicílios tipo casa)</t>
        </is>
      </c>
      <c r="D16" s="6" t="inlineStr">
        <is>
          <t>Manter</t>
        </is>
      </c>
      <c r="E16" s="6" t="inlineStr">
        <is>
          <t>IBGE — Agregados por setor censitário 2022 (tipo de domicílio)</t>
        </is>
      </c>
      <c r="F16" s="7" t="inlineStr">
        <is>
          <t>Pendente</t>
        </is>
      </c>
      <c r="G16" s="7" t="inlineStr">
        <is>
          <t>Pendente</t>
        </is>
      </c>
      <c r="H16" s="8" t="inlineStr">
        <is>
          <t>Casa térrea é mais atingida que apartamento.</t>
        </is>
      </c>
      <c r="I16" s="6" t="inlineStr">
        <is>
          <t>Não verificado se a variável está no arquivo por setor.</t>
        </is>
      </c>
    </row>
    <row r="17">
      <c r="A17" s="11" t="inlineStr">
        <is>
          <t>Vulnerabilidade</t>
        </is>
      </c>
      <c r="B17" s="12" t="inlineStr">
        <is>
          <t>V1</t>
        </is>
      </c>
      <c r="C17" s="6" t="inlineStr">
        <is>
          <t>Vulnerabilidade social (IVS por UDH)</t>
        </is>
      </c>
      <c r="D17" s="6" t="inlineStr">
        <is>
          <t>Plano B — só se o V3 não estiver disponível</t>
        </is>
      </c>
      <c r="E17" s="6" t="inlineStr">
        <is>
          <t>Ipea — Atlas da Vulnerabilidade Social (UDH)</t>
        </is>
      </c>
      <c r="F17" s="7" t="inlineStr">
        <is>
          <t>Pendente</t>
        </is>
      </c>
      <c r="G17" s="7" t="inlineStr">
        <is>
          <t>Pendente</t>
        </is>
      </c>
      <c r="H17" s="8" t="inlineStr">
        <is>
          <t>Base do Censo 2010; UDH maior que o círculo.</t>
        </is>
      </c>
      <c r="I17" s="6" t="inlineStr">
        <is>
          <t>Site confirmado na busca; ano-base a confirmar.</t>
        </is>
      </c>
    </row>
    <row r="18">
      <c r="A18" s="13" t="inlineStr">
        <is>
          <t>Impacto</t>
        </is>
      </c>
      <c r="B18" s="14" t="inlineStr">
        <is>
          <t>I1</t>
        </is>
      </c>
      <c r="C18" s="6" t="inlineStr">
        <is>
          <t>Mobilidade (classe da via + paradas de ônibus + interdições)</t>
        </is>
      </c>
      <c r="D18" s="6" t="inlineStr">
        <is>
          <t>Manter</t>
        </is>
      </c>
      <c r="E18" s="6" t="inlineStr">
        <is>
          <t>Hierarquia viária (ESIG / CTTU); OpenStreetMap; paradas (Grande Recife Consórcio); interdições (CTTU)</t>
        </is>
      </c>
      <c r="F18" s="7" t="inlineStr">
        <is>
          <t>Pendente</t>
        </is>
      </c>
      <c r="G18" s="7" t="inlineStr">
        <is>
          <t>Pendente</t>
        </is>
      </c>
      <c r="H18" s="8" t="inlineStr">
        <is>
          <t>Pedir a Antônio (CTTU): hierarquia viária, linhas e registro de interdições por alagamento.</t>
        </is>
      </c>
      <c r="I18" s="6" t="inlineStr">
        <is>
          <t>Vias no ESIG confirmadas na busca; dados de ônibus e interdições não verificados.</t>
        </is>
      </c>
    </row>
    <row r="19">
      <c r="A19" s="13" t="inlineStr">
        <is>
          <t>Impacto</t>
        </is>
      </c>
      <c r="B19" s="14" t="inlineStr">
        <is>
          <t>I2</t>
        </is>
      </c>
      <c r="C19" s="6" t="inlineStr">
        <is>
          <t>Risco sanitário (% de domicílios sem rede de esgoto)</t>
        </is>
      </c>
      <c r="D19" s="6" t="inlineStr">
        <is>
          <t>Manter</t>
        </is>
      </c>
      <c r="E19" s="6" t="inlineStr">
        <is>
          <t>IBGE — Agregados por setor censitário 2022 (esgotamento); Compesa (rede e extravasamentos)</t>
        </is>
      </c>
      <c r="F19" s="7" t="inlineStr">
        <is>
          <t>Pendente</t>
        </is>
      </c>
      <c r="G19" s="7" t="inlineStr">
        <is>
          <t>Pendente</t>
        </is>
      </c>
      <c r="H19" s="8" t="inlineStr">
        <is>
          <t>Compesa complementa com extravasamentos, se fornecer.</t>
        </is>
      </c>
      <c r="I19" s="6" t="inlineStr">
        <is>
          <t>Esgotamento por setor confirmado na busca (não baixado).</t>
        </is>
      </c>
    </row>
    <row r="21">
      <c r="A21" s="15" t="inlineStr">
        <is>
          <t>Resumo</t>
        </is>
      </c>
      <c r="F21" s="16" t="inlineStr">
        <is>
          <t>Fonte confirmada</t>
        </is>
      </c>
      <c r="G21" s="16" t="inlineStr">
        <is>
          <t>Dado existe</t>
        </is>
      </c>
    </row>
    <row r="22">
      <c r="E22" s="17" t="inlineStr">
        <is>
          <t>Sim</t>
        </is>
      </c>
      <c r="F22" s="18">
        <f>COUNTIF(F$5:F$19,$E22)</f>
        <v/>
      </c>
      <c r="G22" s="18">
        <f>COUNTIF(G$5:G$19,$E22)</f>
        <v/>
      </c>
    </row>
    <row r="23">
      <c r="E23" s="17" t="inlineStr">
        <is>
          <t>Parcial</t>
        </is>
      </c>
      <c r="F23" s="18">
        <f>COUNTIF(F$5:F$19,$E23)</f>
        <v/>
      </c>
      <c r="G23" s="18">
        <f>COUNTIF(G$5:G$19,$E23)</f>
        <v/>
      </c>
    </row>
    <row r="24">
      <c r="E24" s="17" t="inlineStr">
        <is>
          <t>Não</t>
        </is>
      </c>
      <c r="F24" s="18">
        <f>COUNTIF(F$5:F$19,$E24)</f>
        <v/>
      </c>
      <c r="G24" s="18">
        <f>COUNTIF(G$5:G$19,$E24)</f>
        <v/>
      </c>
    </row>
    <row r="25">
      <c r="E25" s="17" t="inlineStr">
        <is>
          <t>Pendente</t>
        </is>
      </c>
      <c r="F25" s="18">
        <f>COUNTIF(F$5:F$19,$E25)</f>
        <v/>
      </c>
      <c r="G25" s="18">
        <f>COUNTIF(G$5:G$19,$E25)</f>
        <v/>
      </c>
    </row>
    <row r="26">
      <c r="E26" s="19" t="inlineStr">
        <is>
          <t>Subcritérios com fonte e dado confirmados</t>
        </is>
      </c>
      <c r="G26" s="20">
        <f>COUNTIFS(F5:F19,"Sim",G5:G19,"Sim")&amp;" de "&amp;ROWS(F5:F19)</f>
        <v/>
      </c>
    </row>
  </sheetData>
  <autoFilter ref="A4:I19"/>
  <mergeCells count="1">
    <mergeCell ref="A2:I2"/>
  </mergeCells>
  <conditionalFormatting sqref="F5:G19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F5:G19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2026-10-02T15:33:57Z</dcterms:created>
  <dcterms:modified xsi:type="dcterms:W3CDTF">2026-10-02T15:40:46Z</dcterms:modified>
</cp:coreProperties>
</file>