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 subcritérios" sheetId="1" state="visible" r:id="rId1"/>
    <sheet name="Notas dos pontos" sheetId="2" state="visible" r:id="rId2"/>
    <sheet name="Glossário" sheetId="3" state="visible" r:id="rId3"/>
  </sheets>
  <definedNames>
    <definedName name="_xlnm._FilterDatabase" localSheetId="0" hidden="1">'Checklist subcritérios'!$A$4:$Q$22</definedName>
    <definedName name="_xlnm._FilterDatabase" localSheetId="2" hidden="1">'Glossário'!$A$4:$D$68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1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color rgb="00FFFFFF"/>
    </font>
    <font>
      <name val="Arial"/>
      <color rgb="00000000"/>
      <sz val="10"/>
    </font>
    <font>
      <name val="Arial"/>
      <color rgb="000000FF"/>
      <sz val="10"/>
    </font>
    <font>
      <name val="Arial"/>
      <b val="1"/>
    </font>
    <font>
      <name val="Arial"/>
      <b val="1"/>
      <sz val="9"/>
    </font>
    <font>
      <name val="Arial"/>
      <sz val="10"/>
    </font>
    <font>
      <name val="Arial"/>
      <b val="1"/>
      <sz val="10"/>
    </font>
    <font>
      <name val="Arial"/>
      <color rgb="000000FF"/>
      <sz val="9"/>
    </font>
    <font>
      <name val="Arial"/>
      <i val="1"/>
      <sz val="8"/>
    </font>
    <font>
      <name val="Arial"/>
      <b val="1"/>
      <color rgb="000000FF"/>
      <sz val="9"/>
    </font>
    <font>
      <name val="Arial"/>
      <sz val="9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4F9EE"/>
      </patternFill>
    </fill>
    <fill>
      <patternFill patternType="solid">
        <fgColor rgb="00FFF9E5"/>
      </patternFill>
    </fill>
    <fill>
      <patternFill patternType="solid">
        <fgColor rgb="00FDE9D9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2F6"/>
      </patternFill>
    </fill>
    <fill>
      <patternFill patternType="solid">
        <fgColor rgb="00595959"/>
      </patternFill>
    </fill>
    <fill>
      <patternFill patternType="solid">
        <fgColor rgb="00C00000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center"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right" wrapText="1"/>
    </xf>
    <xf numFmtId="0" fontId="9" fillId="0" borderId="0" applyAlignment="1" pivotButton="0" quotePrefix="0" xfId="0">
      <alignment horizontal="center"/>
    </xf>
    <xf numFmtId="0" fontId="6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6" fillId="10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right"/>
    </xf>
    <xf numFmtId="0" fontId="10" fillId="9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/>
    </xf>
    <xf numFmtId="0" fontId="8" fillId="0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/>
    </xf>
    <xf numFmtId="0" fontId="5" fillId="9" borderId="1" applyAlignment="1" pivotButton="0" quotePrefix="0" xfId="0">
      <alignment horizontal="center" vertical="center" wrapText="1"/>
    </xf>
    <xf numFmtId="2" fontId="8" fillId="14" borderId="1" applyAlignment="1" pivotButton="0" quotePrefix="0" xfId="0">
      <alignment horizontal="center" vertical="center" wrapText="1"/>
    </xf>
    <xf numFmtId="2" fontId="9" fillId="14" borderId="1" applyAlignment="1" pivotButton="0" quotePrefix="0" xfId="0">
      <alignment horizontal="center" vertical="center" wrapText="1"/>
    </xf>
    <xf numFmtId="165" fontId="9" fillId="14" borderId="1" applyAlignment="1" pivotButton="0" quotePrefix="0" xfId="0">
      <alignment horizontal="center" vertical="center" wrapText="1"/>
    </xf>
    <xf numFmtId="1" fontId="9" fillId="14" borderId="1" applyAlignment="1" pivotButton="0" quotePrefix="0" xfId="0">
      <alignment horizontal="center" vertical="center" wrapText="1"/>
    </xf>
    <xf numFmtId="1" fontId="8" fillId="14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8" fillId="3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8" fillId="10" borderId="1" applyAlignment="1" pivotButton="0" quotePrefix="0" xfId="0">
      <alignment vertical="top" wrapText="1"/>
    </xf>
    <xf numFmtId="0" fontId="8" fillId="11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  <xf numFmtId="0" fontId="8" fillId="14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22" customWidth="1" min="3" max="3"/>
    <col width="34" customWidth="1" min="4" max="4"/>
    <col width="12" customWidth="1" min="5" max="5"/>
    <col width="15" customWidth="1" min="6" max="6"/>
    <col width="15" customWidth="1" min="7" max="7"/>
    <col width="15" customWidth="1" min="8" max="8"/>
    <col width="15" customWidth="1" min="9" max="9"/>
    <col width="17" customWidth="1" min="10" max="10"/>
    <col width="22" customWidth="1" min="11" max="11"/>
    <col width="24" customWidth="1" min="12" max="12"/>
    <col width="34" customWidth="1" min="13" max="13"/>
    <col width="12" customWidth="1" min="14" max="14"/>
    <col width="12" customWidth="1" min="15" max="15"/>
    <col width="34" customWidth="1" min="16" max="16"/>
    <col width="30" customWidth="1" min="17" max="17"/>
  </cols>
  <sheetData>
    <row r="1">
      <c r="A1" s="1" t="inlineStr">
        <is>
          <t>Recife Resiliente — Subcritérios, notas, fontes e checklist dos dados (RPA 6)</t>
        </is>
      </c>
    </row>
    <row r="2" ht="44" customHeight="1">
      <c r="A2" s="2" t="inlineStr">
        <is>
          <t>Proposta de 02/10/2026 (Pedro + Claude), atualizada em 03/10/2026 com o documento da equipe (Hellis); não validada pelo grupo. I3, V5 e V6 são novas e ainda sem definição nem escala. Nota 5 = mais crítico. Faixa fixa = valor absoluto (provisória: calibrar com os dados reais). Quintil = nota relativa entre os 21 pontos (Quintil 1 = 20% com menor valor). Preencha as colunas amarelas (N, O e P): Sim / Não / Parcial / Pendente. 'Fonte confirmada' = a base existe e é acessível; 'Dado existe na fonte' = a variável está lá, na escala do círculo de 300 m, e cobre os 21 pontos. Termos explicados na aba Glossário.</t>
        </is>
      </c>
    </row>
    <row r="4">
      <c r="A4" s="3" t="inlineStr">
        <is>
          <t>Critério</t>
        </is>
      </c>
      <c r="B4" s="3" t="inlineStr">
        <is>
          <t>Código</t>
        </is>
      </c>
      <c r="C4" s="3" t="inlineStr">
        <is>
          <t>Subcritério</t>
        </is>
      </c>
      <c r="D4" s="3" t="inlineStr">
        <is>
          <t>Como medir</t>
        </is>
      </c>
      <c r="E4" s="3" t="inlineStr">
        <is>
          <t>Tipo de nota</t>
        </is>
      </c>
      <c r="F4" s="3" t="inlineStr">
        <is>
          <t>Nota 1</t>
        </is>
      </c>
      <c r="G4" s="3" t="inlineStr">
        <is>
          <t>Nota 2</t>
        </is>
      </c>
      <c r="H4" s="3" t="inlineStr">
        <is>
          <t>Nota 3</t>
        </is>
      </c>
      <c r="I4" s="3" t="inlineStr">
        <is>
          <t>Nota 4</t>
        </is>
      </c>
      <c r="J4" s="3" t="inlineStr">
        <is>
          <t>Nota 5</t>
        </is>
      </c>
      <c r="K4" s="3" t="inlineStr">
        <is>
          <t>Origem da faixa</t>
        </is>
      </c>
      <c r="L4" s="3" t="inlineStr">
        <is>
          <t>Recomendação</t>
        </is>
      </c>
      <c r="M4" s="3" t="inlineStr">
        <is>
          <t>Fonte</t>
        </is>
      </c>
      <c r="N4" s="3" t="inlineStr">
        <is>
          <t>Fonte confirmada?</t>
        </is>
      </c>
      <c r="O4" s="3" t="inlineStr">
        <is>
          <t>Dado existe na fonte?</t>
        </is>
      </c>
      <c r="P4" s="3" t="inlineStr">
        <is>
          <t>Observação</t>
        </is>
      </c>
      <c r="Q4" s="3" t="inlineStr">
        <is>
          <t>Busca prévia (Claude)</t>
        </is>
      </c>
    </row>
    <row r="5">
      <c r="A5" s="4" t="inlineStr">
        <is>
          <t>Probabilidade</t>
        </is>
      </c>
      <c r="B5" s="5" t="inlineStr">
        <is>
          <t>P1</t>
        </is>
      </c>
      <c r="C5" s="6" t="inlineStr">
        <is>
          <t>Frequência e recorrência histórica</t>
        </is>
      </c>
      <c r="D5" s="6" t="inlineStr">
        <is>
          <t>Média de eventos por ano nas 3 últimas estações chuvosas</t>
        </is>
      </c>
      <c r="E5" s="7" t="inlineStr">
        <is>
          <t>Faixa fixa</t>
        </is>
      </c>
      <c r="F5" s="8" t="inlineStr">
        <is>
          <t>&lt; 1</t>
        </is>
      </c>
      <c r="G5" s="9" t="inlineStr">
        <is>
          <t>1–2</t>
        </is>
      </c>
      <c r="H5" s="10" t="inlineStr">
        <is>
          <t>3–4</t>
        </is>
      </c>
      <c r="I5" s="11" t="inlineStr">
        <is>
          <t>5–6</t>
        </is>
      </c>
      <c r="J5" s="12" t="inlineStr">
        <is>
          <t>≥ 7</t>
        </is>
      </c>
      <c r="K5" s="6" t="inlineStr">
        <is>
          <t>Planilha original (provisória)</t>
        </is>
      </c>
      <c r="L5" s="6" t="inlineStr">
        <is>
          <t>Manter — peso alto</t>
        </is>
      </c>
      <c r="M5" s="6" t="inlineStr">
        <is>
          <t>Ficha preenchida com a EMLURB (agora); ocorrências do COP e da Defesa Civil (confirmação)</t>
        </is>
      </c>
      <c r="N5" s="13" t="inlineStr">
        <is>
          <t>Pendente</t>
        </is>
      </c>
      <c r="O5" s="13" t="inlineStr">
        <is>
          <t>Pendente</t>
        </is>
      </c>
      <c r="P5" s="14" t="inlineStr">
        <is>
          <t>Pedido ao COP via tutora/CGM. 156 só para conferir. Calibrar faixas com a distribuição real. 'Recorrência histórica' (documento da equipe) fica aqui se for o mesmo que frequência (pendência 16).</t>
        </is>
      </c>
      <c r="Q5" s="6" t="inlineStr">
        <is>
          <t>Não verificado: depende de pedido aos órgãos.</t>
        </is>
      </c>
    </row>
    <row r="6">
      <c r="A6" s="4" t="inlineStr">
        <is>
          <t>Probabilidade</t>
        </is>
      </c>
      <c r="B6" s="5" t="inlineStr">
        <is>
          <t>P2</t>
        </is>
      </c>
      <c r="C6" s="6" t="inlineStr">
        <is>
          <t>Severidade</t>
        </is>
      </c>
      <c r="D6" s="6" t="inlineStr">
        <is>
          <t>Altura máxima da água e tempo para baixar; nota = média das duas notas, arredondada para cima</t>
        </is>
      </c>
      <c r="E6" s="7" t="inlineStr">
        <is>
          <t>Faixa fixa</t>
        </is>
      </c>
      <c r="F6" s="8" t="inlineStr">
        <is>
          <t>Altura &lt; 10 cm / baixa em &lt; 1 h</t>
        </is>
      </c>
      <c r="G6" s="9" t="inlineStr">
        <is>
          <t>10–30 cm (tornozelo) / 1–3 h</t>
        </is>
      </c>
      <c r="H6" s="10" t="inlineStr">
        <is>
          <t>30–50 cm (joelho) / 3–6 h</t>
        </is>
      </c>
      <c r="I6" s="11" t="inlineStr">
        <is>
          <t>50–100 cm (cintura) / 6–12 h</t>
        </is>
      </c>
      <c r="J6" s="12" t="inlineStr">
        <is>
          <t>&gt; 100 cm / &gt; 12 h</t>
        </is>
      </c>
      <c r="K6" s="6" t="inlineStr">
        <is>
          <t>Planilha original (provisória); regra da média: proposta Claude</t>
        </is>
      </c>
      <c r="L6" s="6" t="inlineStr">
        <is>
          <t>Manter — peso alto</t>
        </is>
      </c>
      <c r="M6" s="6" t="inlineStr">
        <is>
          <t>Ficha EMLURB; escuta com Defesa Civil e moradores</t>
        </is>
      </c>
      <c r="N6" s="13" t="inlineStr">
        <is>
          <t>Pendente</t>
        </is>
      </c>
      <c r="O6" s="13" t="inlineStr">
        <is>
          <t>Pendente</t>
        </is>
      </c>
      <c r="P6" s="14" t="inlineStr">
        <is>
          <t>Extensão da mancha fica registrada como informação, sem nota própria.</t>
        </is>
      </c>
      <c r="Q6" s="6" t="inlineStr">
        <is>
          <t>Não verificado: dado de campo.</t>
        </is>
      </c>
    </row>
    <row r="7">
      <c r="A7" s="4" t="inlineStr">
        <is>
          <t>Probabilidade</t>
        </is>
      </c>
      <c r="B7" s="5" t="inlineStr">
        <is>
          <t>P3</t>
        </is>
      </c>
      <c r="C7" s="6" t="inlineStr">
        <is>
          <t>Influência da maré</t>
        </is>
      </c>
      <c r="D7" s="6" t="inlineStr">
        <is>
          <t>O escoamento trava com a maré alta?</t>
        </is>
      </c>
      <c r="E7" s="7" t="inlineStr">
        <is>
          <t>Classe</t>
        </is>
      </c>
      <c r="F7" s="8" t="inlineStr">
        <is>
          <t>Não influencia</t>
        </is>
      </c>
      <c r="G7" s="9" t="inlineStr">
        <is>
          <t>—</t>
        </is>
      </c>
      <c r="H7" s="10" t="inlineStr">
        <is>
          <t>Agrava ocasionalmente</t>
        </is>
      </c>
      <c r="I7" s="11" t="inlineStr">
        <is>
          <t>—</t>
        </is>
      </c>
      <c r="J7" s="12" t="inlineStr">
        <is>
          <t>Alaga dependendo da maré / escoamento bloqueado</t>
        </is>
      </c>
      <c r="K7" s="6" t="inlineStr">
        <is>
          <t>Planilha original</t>
        </is>
      </c>
      <c r="L7" s="6" t="inlineStr">
        <is>
          <t>Manter</t>
        </is>
      </c>
      <c r="M7" s="6" t="inlineStr">
        <is>
          <t>Ficha EMLURB; APAC; tábua de marés</t>
        </is>
      </c>
      <c r="N7" s="13" t="inlineStr">
        <is>
          <t>Pendente</t>
        </is>
      </c>
      <c r="O7" s="13" t="inlineStr">
        <is>
          <t>Pendente</t>
        </is>
      </c>
      <c r="P7" s="14" t="inlineStr">
        <is>
          <t>Notas 2 e 4 ficam para casos intermediários, se a EMLURB indicar.</t>
        </is>
      </c>
      <c r="Q7" s="6" t="inlineStr">
        <is>
          <t>APAC confirmada na busca; tábua de marés não verificada.</t>
        </is>
      </c>
    </row>
    <row r="8">
      <c r="A8" s="4" t="inlineStr">
        <is>
          <t>Probabilidade</t>
        </is>
      </c>
      <c r="B8" s="5" t="inlineStr">
        <is>
          <t>P4</t>
        </is>
      </c>
      <c r="C8" s="6" t="inlineStr">
        <is>
          <t>Proximidade de rio ou canal</t>
        </is>
      </c>
      <c r="D8" s="6" t="inlineStr">
        <is>
          <t>Distância do ponto ao curso d'água mais próximo (m); quanto mais perto, maior a nota</t>
        </is>
      </c>
      <c r="E8" s="7" t="inlineStr">
        <is>
          <t>Quintil (invertido)</t>
        </is>
      </c>
      <c r="F8" s="8" t="inlineStr">
        <is>
          <t>Quintil mais distante</t>
        </is>
      </c>
      <c r="G8" s="9" t="inlineStr">
        <is>
          <t>Quintil 2</t>
        </is>
      </c>
      <c r="H8" s="10" t="inlineStr">
        <is>
          <t>Quintil 3</t>
        </is>
      </c>
      <c r="I8" s="11" t="inlineStr">
        <is>
          <t>Quintil 4</t>
        </is>
      </c>
      <c r="J8" s="12" t="inlineStr">
        <is>
          <t>Quintil mais próximo</t>
        </is>
      </c>
      <c r="K8" s="6" t="inlineStr">
        <is>
          <t>Regra de quintis da planilha original</t>
        </is>
      </c>
      <c r="L8" s="6" t="inlineStr">
        <is>
          <t>Manter — peso menor (suscetibilidade)</t>
        </is>
      </c>
      <c r="M8" s="6" t="inlineStr">
        <is>
          <t>Shapefile próprio da rede hidrográfica; ESIG – recursos hídricos</t>
        </is>
      </c>
      <c r="N8" s="13" t="inlineStr">
        <is>
          <t>Pendente</t>
        </is>
      </c>
      <c r="O8" s="13" t="inlineStr">
        <is>
          <t>Pendente</t>
        </is>
      </c>
      <c r="P8" s="14" t="inlineStr">
        <is>
          <t>Reprojetar para EPSG:31985. Conferir se os canais estão no arquivo.</t>
        </is>
      </c>
      <c r="Q8" s="6" t="inlineStr">
        <is>
          <t>ESIG com recursos hídricos confirmado na busca (não aberto).</t>
        </is>
      </c>
    </row>
    <row r="9">
      <c r="A9" s="4" t="inlineStr">
        <is>
          <t>Probabilidade</t>
        </is>
      </c>
      <c r="B9" s="5" t="inlineStr">
        <is>
          <t>P5</t>
        </is>
      </c>
      <c r="C9" s="6" t="inlineStr">
        <is>
          <t>Impermeabilização</t>
        </is>
      </c>
      <c r="D9" s="6" t="inlineStr">
        <is>
          <t>% do círculo de 300 m com vegetação ou solo permeável; quanto menos verde, maior a nota</t>
        </is>
      </c>
      <c r="E9" s="7" t="inlineStr">
        <is>
          <t>Faixa fixa</t>
        </is>
      </c>
      <c r="F9" s="8" t="inlineStr">
        <is>
          <t>&gt; 40%</t>
        </is>
      </c>
      <c r="G9" s="9" t="inlineStr">
        <is>
          <t>30–40%</t>
        </is>
      </c>
      <c r="H9" s="10" t="inlineStr">
        <is>
          <t>20–30%</t>
        </is>
      </c>
      <c r="I9" s="11" t="inlineStr">
        <is>
          <t>10–20%</t>
        </is>
      </c>
      <c r="J9" s="12" t="inlineStr">
        <is>
          <t>&lt; 10%</t>
        </is>
      </c>
      <c r="K9" s="6" t="inlineStr">
        <is>
          <t>Planilha original (provisória)</t>
        </is>
      </c>
      <c r="L9" s="6" t="inlineStr">
        <is>
          <t>Manter — peso menor (suscetibilidade)</t>
        </is>
      </c>
      <c r="M9" s="6" t="inlineStr">
        <is>
          <t>MapBiomas (30 m); alternativa: edificações do ESIG</t>
        </is>
      </c>
      <c r="N9" s="13" t="inlineStr">
        <is>
          <t>Pendente</t>
        </is>
      </c>
      <c r="O9" s="13" t="inlineStr">
        <is>
          <t>Pendente</t>
        </is>
      </c>
      <c r="P9" s="14" t="inlineStr">
        <is>
          <t>Se quase todos os pontos ficarem em &lt; 10%, trocar por quintis.</t>
        </is>
      </c>
      <c r="Q9" s="6" t="inlineStr">
        <is>
          <t>Não verificado.</t>
        </is>
      </c>
    </row>
    <row r="10">
      <c r="A10" s="4" t="inlineStr">
        <is>
          <t>Probabilidade</t>
        </is>
      </c>
      <c r="B10" s="5" t="inlineStr">
        <is>
          <t>P6</t>
        </is>
      </c>
      <c r="C10" s="6" t="inlineStr">
        <is>
          <t>Relevo (baixio)</t>
        </is>
      </c>
      <c r="D10" s="6" t="inlineStr">
        <is>
          <t>Cota do ponto menos a cota média do círculo (m); quanto mais baixo, maior a nota</t>
        </is>
      </c>
      <c r="E10" s="7" t="inlineStr">
        <is>
          <t>Quintil (invertido)</t>
        </is>
      </c>
      <c r="F10" s="8" t="inlineStr">
        <is>
          <t>Quintil mais alto</t>
        </is>
      </c>
      <c r="G10" s="9" t="inlineStr">
        <is>
          <t>Quintil 2</t>
        </is>
      </c>
      <c r="H10" s="10" t="inlineStr">
        <is>
          <t>Quintil 3</t>
        </is>
      </c>
      <c r="I10" s="11" t="inlineStr">
        <is>
          <t>Quintil 4</t>
        </is>
      </c>
      <c r="J10" s="12" t="inlineStr">
        <is>
          <t>Quintil mais baixo</t>
        </is>
      </c>
      <c r="K10" s="6" t="inlineStr">
        <is>
          <t>Proposta Claude (quintis)</t>
        </is>
      </c>
      <c r="L10" s="6" t="inlineStr">
        <is>
          <t>Condicional — só com curvas de nível ou modelo de terreno</t>
        </is>
      </c>
      <c r="M10" s="6" t="inlineStr">
        <is>
          <t>Condepe/Fidem — Acervo Cartográfico (curvas de nível); ESIG (a verificar)</t>
        </is>
      </c>
      <c r="N10" s="13" t="inlineStr">
        <is>
          <t>Pendente</t>
        </is>
      </c>
      <c r="O10" s="13" t="inlineStr">
        <is>
          <t>Pendente</t>
        </is>
      </c>
      <c r="P10" s="14" t="inlineStr">
        <is>
          <t>Medida mais objetiva de acúmulo de água. 'Relevo' do documento da equipe.</t>
        </is>
      </c>
      <c r="Q10" s="6" t="inlineStr">
        <is>
          <t>Condepe/Fidem localizado na busca: curvas de 1 m na área urbana (não aberto).</t>
        </is>
      </c>
    </row>
    <row r="11">
      <c r="A11" s="15" t="inlineStr">
        <is>
          <t>Exposição</t>
        </is>
      </c>
      <c r="B11" s="8" t="inlineStr">
        <is>
          <t>E1</t>
        </is>
      </c>
      <c r="C11" s="6" t="inlineStr">
        <is>
          <t>População</t>
        </is>
      </c>
      <c r="D11" s="6" t="inlineStr">
        <is>
          <t>Moradores no círculo de 300 m (soma de população × fração da célula dentro do círculo)</t>
        </is>
      </c>
      <c r="E11" s="7" t="inlineStr">
        <is>
          <t>Quintil</t>
        </is>
      </c>
      <c r="F11" s="8" t="inlineStr">
        <is>
          <t>Quintil 1 (20% menores)</t>
        </is>
      </c>
      <c r="G11" s="9" t="inlineStr">
        <is>
          <t>Quintil 2</t>
        </is>
      </c>
      <c r="H11" s="10" t="inlineStr">
        <is>
          <t>Quintil 3</t>
        </is>
      </c>
      <c r="I11" s="11" t="inlineStr">
        <is>
          <t>Quintil 4</t>
        </is>
      </c>
      <c r="J11" s="12" t="inlineStr">
        <is>
          <t>Quintil 5 (20% maiores)</t>
        </is>
      </c>
      <c r="K11" s="6" t="inlineStr">
        <is>
          <t>Planilha original</t>
        </is>
      </c>
      <c r="L11" s="6" t="inlineStr">
        <is>
          <t>Manter</t>
        </is>
      </c>
      <c r="M11" s="6" t="inlineStr">
        <is>
          <t>IBGE — Grade Estatística 2022 (células de 200 × 200 m)</t>
        </is>
      </c>
      <c r="N11" s="13" t="inlineStr">
        <is>
          <t>Pendente</t>
        </is>
      </c>
      <c r="O11" s="13" t="inlineStr">
        <is>
          <t>Pendente</t>
        </is>
      </c>
      <c r="P11" s="14" t="inlineStr">
        <is>
          <t>No painel, mostrar também o valor em 1 km.</t>
        </is>
      </c>
      <c r="Q11" s="6" t="inlineStr">
        <is>
          <t>Confirmado na busca (não baixado).</t>
        </is>
      </c>
    </row>
    <row r="12">
      <c r="A12" s="15" t="inlineStr">
        <is>
          <t>Exposição</t>
        </is>
      </c>
      <c r="B12" s="8" t="inlineStr">
        <is>
          <t>E2</t>
        </is>
      </c>
      <c r="C12" s="6" t="inlineStr">
        <is>
          <t>Equipamentos públicos</t>
        </is>
      </c>
      <c r="D12" s="6" t="inlineStr">
        <is>
          <t>Nº de escolas, creches e unidades de saúde no círculo</t>
        </is>
      </c>
      <c r="E12" s="7" t="inlineStr">
        <is>
          <t>Faixa fixa</t>
        </is>
      </c>
      <c r="F12" s="8" t="inlineStr">
        <is>
          <t>Nenhum</t>
        </is>
      </c>
      <c r="G12" s="9" t="inlineStr">
        <is>
          <t>1</t>
        </is>
      </c>
      <c r="H12" s="10" t="inlineStr">
        <is>
          <t>2</t>
        </is>
      </c>
      <c r="I12" s="11" t="inlineStr">
        <is>
          <t>3–4</t>
        </is>
      </c>
      <c r="J12" s="12" t="inlineStr">
        <is>
          <t>≥ 5 ou hospital/UPA no círculo</t>
        </is>
      </c>
      <c r="K12" s="6" t="inlineStr">
        <is>
          <t>Proposta Claude (provisória)</t>
        </is>
      </c>
      <c r="L12" s="6" t="inlineStr">
        <is>
          <t>Manter</t>
        </is>
      </c>
      <c r="M12" s="6" t="inlineStr">
        <is>
          <t>Portal de dados abertos (escolas municipais, UBS, hospitais, rede de saúde); IBGE — CNEFE 2022 (ensino e saúde); CNES/DATASUS</t>
        </is>
      </c>
      <c r="N12" s="13" t="inlineStr">
        <is>
          <t>Pendente</t>
        </is>
      </c>
      <c r="O12" s="13" t="inlineStr">
        <is>
          <t>Pendente</t>
        </is>
      </c>
      <c r="P12" s="14" t="inlineStr">
        <is>
          <t>Inclui 'hospitais/escolas atingidos' do documento da equipe (sem contar duas vezes no Impacto). Perguntar se 'equipamentos públicos' inclui outros (CRAS, abrigos). Calibrar com as contagens reais.</t>
        </is>
      </c>
      <c r="Q12" s="6" t="inlineStr">
        <is>
          <t>CNEFE confirmado na busca (não baixado). Bases do portal localizadas em 03/10 (não abertas).</t>
        </is>
      </c>
    </row>
    <row r="13">
      <c r="A13" s="15" t="inlineStr">
        <is>
          <t>Exposição</t>
        </is>
      </c>
      <c r="B13" s="8" t="inlineStr">
        <is>
          <t>E3</t>
        </is>
      </c>
      <c r="C13" s="6" t="inlineStr">
        <is>
          <t>Comércio e serviços</t>
        </is>
      </c>
      <c r="D13" s="6" t="inlineStr">
        <is>
          <t>Nº de comércios e serviços no círculo</t>
        </is>
      </c>
      <c r="E13" s="7" t="inlineStr">
        <is>
          <t>Quintil</t>
        </is>
      </c>
      <c r="F13" s="8" t="inlineStr">
        <is>
          <t>Quintil 1 (20% menores)</t>
        </is>
      </c>
      <c r="G13" s="9" t="inlineStr">
        <is>
          <t>Quintil 2</t>
        </is>
      </c>
      <c r="H13" s="10" t="inlineStr">
        <is>
          <t>Quintil 3</t>
        </is>
      </c>
      <c r="I13" s="11" t="inlineStr">
        <is>
          <t>Quintil 4</t>
        </is>
      </c>
      <c r="J13" s="12" t="inlineStr">
        <is>
          <t>Quintil 5 (20% maiores)</t>
        </is>
      </c>
      <c r="K13" s="6" t="inlineStr">
        <is>
          <t>Planilha original</t>
        </is>
      </c>
      <c r="L13" s="6" t="inlineStr">
        <is>
          <t>Manter</t>
        </is>
      </c>
      <c r="M13" s="6" t="inlineStr">
        <is>
          <t>IBGE — CNEFE 2022 (outras finalidades); IPTU (tipo de empreendimento)</t>
        </is>
      </c>
      <c r="N13" s="13" t="inlineStr">
        <is>
          <t>Pendente</t>
        </is>
      </c>
      <c r="O13" s="13" t="inlineStr">
        <is>
          <t>Pendente</t>
        </is>
      </c>
      <c r="P13" s="14" t="inlineStr">
        <is>
          <t>'Outras finalidades' pode incluir templos e órgãos públicos. Inclui 'perdas econômicas' do documento da equipe, que não tem fonte própria.</t>
        </is>
      </c>
      <c r="Q13" s="6" t="inlineStr">
        <is>
          <t>CNEFE confirmado na busca (não baixado).</t>
        </is>
      </c>
    </row>
    <row r="14">
      <c r="A14" s="16" t="inlineStr">
        <is>
          <t>Vulnerabilidade</t>
        </is>
      </c>
      <c r="B14" s="17" t="inlineStr">
        <is>
          <t>V2</t>
        </is>
      </c>
      <c r="C14" s="6" t="inlineStr">
        <is>
          <t>População vulnerável</t>
        </is>
      </c>
      <c r="D14" s="6" t="inlineStr">
        <is>
          <t>% de moradores com 60+ anos ou 0–4 anos nos setores do círculo (ponderado pela área)</t>
        </is>
      </c>
      <c r="E14" s="7" t="inlineStr">
        <is>
          <t>Quintil</t>
        </is>
      </c>
      <c r="F14" s="8" t="inlineStr">
        <is>
          <t>Quintil 1 (20% menores)</t>
        </is>
      </c>
      <c r="G14" s="9" t="inlineStr">
        <is>
          <t>Quintil 2</t>
        </is>
      </c>
      <c r="H14" s="10" t="inlineStr">
        <is>
          <t>Quintil 3</t>
        </is>
      </c>
      <c r="I14" s="11" t="inlineStr">
        <is>
          <t>Quintil 4</t>
        </is>
      </c>
      <c r="J14" s="12" t="inlineStr">
        <is>
          <t>Quintil 5 (20% maiores)</t>
        </is>
      </c>
      <c r="K14" s="6" t="inlineStr">
        <is>
          <t>Planilha original</t>
        </is>
      </c>
      <c r="L14" s="6" t="inlineStr">
        <is>
          <t>Manter</t>
        </is>
      </c>
      <c r="M14" s="6" t="inlineStr">
        <is>
          <t>IBGE — Agregados por setor 2022 (idade)</t>
        </is>
      </c>
      <c r="N14" s="13" t="inlineStr">
        <is>
          <t>Pendente</t>
        </is>
      </c>
      <c r="O14" s="13" t="inlineStr">
        <is>
          <t>Pendente</t>
        </is>
      </c>
      <c r="P14" s="14" t="inlineStr"/>
      <c r="Q14" s="6" t="inlineStr">
        <is>
          <t>Idade por setor confirmada na busca (não baixado).</t>
        </is>
      </c>
    </row>
    <row r="15">
      <c r="A15" s="16" t="inlineStr">
        <is>
          <t>Vulnerabilidade</t>
        </is>
      </c>
      <c r="B15" s="17" t="inlineStr">
        <is>
          <t>V3</t>
        </is>
      </c>
      <c r="C15" s="6" t="inlineStr">
        <is>
          <t>ZEIS, favelas e comunidades</t>
        </is>
      </c>
      <c r="D15" s="6" t="inlineStr">
        <is>
          <t>% da área do círculo em favelas e comunidades urbanas (IBGE 2022) ou em ZEIS 1</t>
        </is>
      </c>
      <c r="E15" s="7" t="inlineStr">
        <is>
          <t>Faixa fixa</t>
        </is>
      </c>
      <c r="F15" s="8" t="inlineStr">
        <is>
          <t>0%</t>
        </is>
      </c>
      <c r="G15" s="9" t="inlineStr">
        <is>
          <t>&lt; 10%</t>
        </is>
      </c>
      <c r="H15" s="10" t="inlineStr">
        <is>
          <t>10–25%</t>
        </is>
      </c>
      <c r="I15" s="11" t="inlineStr">
        <is>
          <t>25–50%</t>
        </is>
      </c>
      <c r="J15" s="12" t="inlineStr">
        <is>
          <t>&gt; 50%</t>
        </is>
      </c>
      <c r="K15" s="6" t="inlineStr">
        <is>
          <t>Proposta Claude (provisória)</t>
        </is>
      </c>
      <c r="L15" s="6" t="inlineStr">
        <is>
          <t>Manter — substitui o V1 se a malha 2022 existir</t>
        </is>
      </c>
      <c r="M15" s="6" t="inlineStr">
        <is>
          <t>IBGE — Favelas e Comunidades Urbanas 2022 (malha); ZEIS do Plano Diretor e relação de favelas (portal)</t>
        </is>
      </c>
      <c r="N15" s="13" t="inlineStr">
        <is>
          <t>Pendente</t>
        </is>
      </c>
      <c r="O15" s="13" t="inlineStr">
        <is>
          <t>Pendente</t>
        </is>
      </c>
      <c r="P15" s="14" t="inlineStr">
        <is>
          <t>Mais atual que o IVS (2010). ZEIS 2 (terrenos vazios) não conta.</t>
        </is>
      </c>
      <c r="Q15" s="6" t="inlineStr">
        <is>
          <t>ZEIS e relação de favelas localizadas no portal (não abertas); malha IBGE não verificada.</t>
        </is>
      </c>
    </row>
    <row r="16">
      <c r="A16" s="16" t="inlineStr">
        <is>
          <t>Vulnerabilidade</t>
        </is>
      </c>
      <c r="B16" s="17" t="inlineStr">
        <is>
          <t>V4</t>
        </is>
      </c>
      <c r="C16" s="6" t="inlineStr">
        <is>
          <t>Tipo de moradia</t>
        </is>
      </c>
      <c r="D16" s="6" t="inlineStr">
        <is>
          <t>% de domicílios do tipo casa nos setores do círculo</t>
        </is>
      </c>
      <c r="E16" s="7" t="inlineStr">
        <is>
          <t>Quintil</t>
        </is>
      </c>
      <c r="F16" s="8" t="inlineStr">
        <is>
          <t>Quintil 1 (20% menores)</t>
        </is>
      </c>
      <c r="G16" s="9" t="inlineStr">
        <is>
          <t>Quintil 2</t>
        </is>
      </c>
      <c r="H16" s="10" t="inlineStr">
        <is>
          <t>Quintil 3</t>
        </is>
      </c>
      <c r="I16" s="11" t="inlineStr">
        <is>
          <t>Quintil 4</t>
        </is>
      </c>
      <c r="J16" s="12" t="inlineStr">
        <is>
          <t>Quintil 5 (20% maiores)</t>
        </is>
      </c>
      <c r="K16" s="6" t="inlineStr">
        <is>
          <t>Proposta Claude (quintis)</t>
        </is>
      </c>
      <c r="L16" s="6" t="inlineStr">
        <is>
          <t>Manter</t>
        </is>
      </c>
      <c r="M16" s="6" t="inlineStr">
        <is>
          <t>IBGE — Agregados por setor 2022 (tipo de domicílio)</t>
        </is>
      </c>
      <c r="N16" s="13" t="inlineStr">
        <is>
          <t>Pendente</t>
        </is>
      </c>
      <c r="O16" s="13" t="inlineStr">
        <is>
          <t>Pendente</t>
        </is>
      </c>
      <c r="P16" s="14" t="inlineStr">
        <is>
          <t>Casa térrea é mais atingida que apartamento.</t>
        </is>
      </c>
      <c r="Q16" s="6" t="inlineStr">
        <is>
          <t>Não verificado se a variável está no arquivo por setor.</t>
        </is>
      </c>
    </row>
    <row r="17">
      <c r="A17" s="16" t="inlineStr">
        <is>
          <t>Vulnerabilidade</t>
        </is>
      </c>
      <c r="B17" s="17" t="inlineStr">
        <is>
          <t>V5</t>
        </is>
      </c>
      <c r="C17" s="6" t="inlineStr">
        <is>
          <t>Dificuldade de evacuação</t>
        </is>
      </c>
      <c r="D17" s="6" t="inlineStr">
        <is>
          <t>Definição pendente (pendência 15)</t>
        </is>
      </c>
      <c r="E17" s="7" t="inlineStr"/>
      <c r="F17" s="8" t="inlineStr"/>
      <c r="G17" s="9" t="inlineStr"/>
      <c r="H17" s="10" t="inlineStr"/>
      <c r="I17" s="11" t="inlineStr"/>
      <c r="J17" s="12" t="inlineStr"/>
      <c r="K17" s="6" t="inlineStr">
        <is>
          <t>Documento da equipe (Hellis, 03/10/2026)</t>
        </is>
      </c>
      <c r="L17" s="6" t="inlineStr">
        <is>
          <t>Nova — só entra com definição e fonte</t>
        </is>
      </c>
      <c r="M17" s="6" t="inlineStr"/>
      <c r="N17" s="13" t="inlineStr">
        <is>
          <t>Pendente</t>
        </is>
      </c>
      <c r="O17" s="13" t="inlineStr">
        <is>
          <t>Pendente</t>
        </is>
      </c>
      <c r="P17" s="14" t="inlineStr">
        <is>
          <t>Pedir a definição a Hellis antes de procurar dado.</t>
        </is>
      </c>
      <c r="Q17" s="6" t="inlineStr">
        <is>
          <t>Não pesquisado.</t>
        </is>
      </c>
    </row>
    <row r="18">
      <c r="A18" s="16" t="inlineStr">
        <is>
          <t>Vulnerabilidade</t>
        </is>
      </c>
      <c r="B18" s="17" t="inlineStr">
        <is>
          <t>V6</t>
        </is>
      </c>
      <c r="C18" s="6" t="inlineStr">
        <is>
          <t>Infraestrutura precária</t>
        </is>
      </c>
      <c r="D18" s="6" t="inlineStr">
        <is>
          <t>Definição pendente (pendência 15)</t>
        </is>
      </c>
      <c r="E18" s="7" t="inlineStr"/>
      <c r="F18" s="8" t="inlineStr"/>
      <c r="G18" s="9" t="inlineStr"/>
      <c r="H18" s="10" t="inlineStr"/>
      <c r="I18" s="11" t="inlineStr"/>
      <c r="J18" s="12" t="inlineStr"/>
      <c r="K18" s="6" t="inlineStr">
        <is>
          <t>Documento da equipe (Hellis, 03/10/2026)</t>
        </is>
      </c>
      <c r="L18" s="6" t="inlineStr">
        <is>
          <t>Nova — só entra com definição e fonte</t>
        </is>
      </c>
      <c r="M18" s="6" t="inlineStr"/>
      <c r="N18" s="13" t="inlineStr">
        <is>
          <t>Pendente</t>
        </is>
      </c>
      <c r="O18" s="13" t="inlineStr">
        <is>
          <t>Pendente</t>
        </is>
      </c>
      <c r="P18" s="14" t="inlineStr">
        <is>
          <t>Pode absorver o V4 (tipo de moradia) e o I2 (esgoto). Pedir a definição a Hellis.</t>
        </is>
      </c>
      <c r="Q18" s="6" t="inlineStr">
        <is>
          <t>Não pesquisado.</t>
        </is>
      </c>
    </row>
    <row r="19">
      <c r="A19" s="16" t="inlineStr">
        <is>
          <t>Vulnerabilidade</t>
        </is>
      </c>
      <c r="B19" s="17" t="inlineStr">
        <is>
          <t>V1</t>
        </is>
      </c>
      <c r="C19" s="6" t="inlineStr">
        <is>
          <t>Vulnerabilidade social (IVS)</t>
        </is>
      </c>
      <c r="D19" s="6" t="inlineStr">
        <is>
          <t>Maior IVS entre as UDHs que tocam o círculo</t>
        </is>
      </c>
      <c r="E19" s="7" t="inlineStr">
        <is>
          <t>Faixa fixa</t>
        </is>
      </c>
      <c r="F19" s="8" t="inlineStr">
        <is>
          <t>Muito baixa (0–0,200)</t>
        </is>
      </c>
      <c r="G19" s="9" t="inlineStr">
        <is>
          <t>Baixa (0,201–0,300)</t>
        </is>
      </c>
      <c r="H19" s="10" t="inlineStr">
        <is>
          <t>Média (0,301–0,400)</t>
        </is>
      </c>
      <c r="I19" s="11" t="inlineStr">
        <is>
          <t>Alta (0,401–0,500)</t>
        </is>
      </c>
      <c r="J19" s="12" t="inlineStr">
        <is>
          <t>Muito alta (&gt; 0,500)</t>
        </is>
      </c>
      <c r="K19" s="6" t="inlineStr">
        <is>
          <t>Faixas do Ipea (conferir no Atlas)</t>
        </is>
      </c>
      <c r="L19" s="6" t="inlineStr">
        <is>
          <t>Plano B — só se o V3 não estiver disponível</t>
        </is>
      </c>
      <c r="M19" s="6" t="inlineStr">
        <is>
          <t>Ipea — Atlas da Vulnerabilidade Social (UDH)</t>
        </is>
      </c>
      <c r="N19" s="13" t="inlineStr">
        <is>
          <t>Pendente</t>
        </is>
      </c>
      <c r="O19" s="13" t="inlineStr">
        <is>
          <t>Pendente</t>
        </is>
      </c>
      <c r="P19" s="14" t="inlineStr">
        <is>
          <t>Base do Censo 2010.</t>
        </is>
      </c>
      <c r="Q19" s="6" t="inlineStr">
        <is>
          <t>Site confirmado na busca; faixas e ano-base a confirmar.</t>
        </is>
      </c>
    </row>
    <row r="20">
      <c r="A20" s="18" t="inlineStr">
        <is>
          <t>Impacto</t>
        </is>
      </c>
      <c r="B20" s="19" t="inlineStr">
        <is>
          <t>I1</t>
        </is>
      </c>
      <c r="C20" s="6" t="inlineStr">
        <is>
          <t>Tipo de via</t>
        </is>
      </c>
      <c r="D20" s="6" t="inlineStr">
        <is>
          <t>Classe da via mais importante afetada pelo alagamento (no trecho: a própria via)</t>
        </is>
      </c>
      <c r="E20" s="7" t="inlineStr">
        <is>
          <t>Classe</t>
        </is>
      </c>
      <c r="F20" s="8" t="inlineStr">
        <is>
          <t>Ruas</t>
        </is>
      </c>
      <c r="G20" s="9" t="inlineStr">
        <is>
          <t>Demais avenidas</t>
        </is>
      </c>
      <c r="H20" s="10" t="inlineStr">
        <is>
          <t>Corredor de transporte urbano secundário</t>
        </is>
      </c>
      <c r="I20" s="11" t="inlineStr">
        <is>
          <t>Corredor de transporte urbano principal</t>
        </is>
      </c>
      <c r="J20" s="12" t="inlineStr">
        <is>
          <t>Corredor de transporte metropolitano</t>
        </is>
      </c>
      <c r="K20" s="6" t="inlineStr">
        <is>
          <t>Pedro (03/10/2026)</t>
        </is>
      </c>
      <c r="L20" s="6" t="inlineStr">
        <is>
          <t>Manter</t>
        </is>
      </c>
      <c r="M20" s="6" t="inlineStr">
        <is>
          <t>Corredores de ônibus (portal de dados abertos); hierarquia viária e corredores (CTTU / Grande Recife)</t>
        </is>
      </c>
      <c r="N20" s="13" t="inlineStr">
        <is>
          <t>Pendente</t>
        </is>
      </c>
      <c r="O20" s="13" t="inlineStr">
        <is>
          <t>Pendente</t>
        </is>
      </c>
      <c r="P20" s="14" t="inlineStr">
        <is>
          <t>Interdição registrada pela CTTU serve só para conferir a nota (não soma). Junta 'vias principais' e 'interrupção do trânsito' do documento da equipe. Confirmar qual base classifica os corredores em metropolitano / urbano principal / urbano secundário (pendência 17).</t>
        </is>
      </c>
      <c r="Q20" s="6" t="inlineStr">
        <is>
          <t>Corredores de ônibus localizados no portal (não abertos); classificação dos corredores não verificada.</t>
        </is>
      </c>
    </row>
    <row r="21">
      <c r="A21" s="18" t="inlineStr">
        <is>
          <t>Impacto</t>
        </is>
      </c>
      <c r="B21" s="19" t="inlineStr">
        <is>
          <t>I2</t>
        </is>
      </c>
      <c r="C21" s="6" t="inlineStr">
        <is>
          <t>Risco sanitário</t>
        </is>
      </c>
      <c r="D21" s="6" t="inlineStr">
        <is>
          <t>% de domicílios sem ligação à rede de esgoto nos setores do círculo</t>
        </is>
      </c>
      <c r="E21" s="7" t="inlineStr">
        <is>
          <t>Quintil</t>
        </is>
      </c>
      <c r="F21" s="8" t="inlineStr">
        <is>
          <t>Quintil 1 (20% menores)</t>
        </is>
      </c>
      <c r="G21" s="9" t="inlineStr">
        <is>
          <t>Quintil 2</t>
        </is>
      </c>
      <c r="H21" s="10" t="inlineStr">
        <is>
          <t>Quintil 3</t>
        </is>
      </c>
      <c r="I21" s="11" t="inlineStr">
        <is>
          <t>Quintil 4</t>
        </is>
      </c>
      <c r="J21" s="12" t="inlineStr">
        <is>
          <t>Quintil 5 (20% maiores)</t>
        </is>
      </c>
      <c r="K21" s="6" t="inlineStr">
        <is>
          <t>Proposta Claude (quintis)</t>
        </is>
      </c>
      <c r="L21" s="6" t="inlineStr">
        <is>
          <t>Manter</t>
        </is>
      </c>
      <c r="M21" s="6" t="inlineStr">
        <is>
          <t>IBGE — Agregados por setor 2022 (esgotamento); Compesa</t>
        </is>
      </c>
      <c r="N21" s="13" t="inlineStr">
        <is>
          <t>Pendente</t>
        </is>
      </c>
      <c r="O21" s="13" t="inlineStr">
        <is>
          <t>Pendente</t>
        </is>
      </c>
      <c r="P21" s="14" t="inlineStr">
        <is>
          <t>Quintis porque a cobertura de esgoto no Recife é baixa e faixas fixas podem saturar. Pode passar para o V6 (infraestrutura precária).</t>
        </is>
      </c>
      <c r="Q21" s="6" t="inlineStr">
        <is>
          <t>Esgotamento por setor confirmado na busca (não baixado).</t>
        </is>
      </c>
    </row>
    <row r="22">
      <c r="A22" s="18" t="inlineStr">
        <is>
          <t>Impacto</t>
        </is>
      </c>
      <c r="B22" s="19" t="inlineStr">
        <is>
          <t>I3</t>
        </is>
      </c>
      <c r="C22" s="6" t="inlineStr">
        <is>
          <t>Isolamento</t>
        </is>
      </c>
      <c r="D22" s="6" t="inlineStr">
        <is>
          <t>Definição pendente (pendência 15)</t>
        </is>
      </c>
      <c r="E22" s="7" t="inlineStr"/>
      <c r="F22" s="8" t="inlineStr"/>
      <c r="G22" s="9" t="inlineStr"/>
      <c r="H22" s="10" t="inlineStr"/>
      <c r="I22" s="11" t="inlineStr"/>
      <c r="J22" s="12" t="inlineStr"/>
      <c r="K22" s="6" t="inlineStr">
        <is>
          <t>Documento da equipe (Hellis, 03/10/2026)</t>
        </is>
      </c>
      <c r="L22" s="6" t="inlineStr">
        <is>
          <t>Nova — só entra com definição e fonte</t>
        </is>
      </c>
      <c r="M22" s="6" t="inlineStr"/>
      <c r="N22" s="13" t="inlineStr">
        <is>
          <t>Pendente</t>
        </is>
      </c>
      <c r="O22" s="13" t="inlineStr">
        <is>
          <t>Pendente</t>
        </is>
      </c>
      <c r="P22" s="14" t="inlineStr">
        <is>
          <t>Leitura possível: comunidade sem rota alternativa quando o ponto alaga (malha viária). Confirmar com Hellis.</t>
        </is>
      </c>
      <c r="Q22" s="6" t="inlineStr">
        <is>
          <t>Não pesquisado.</t>
        </is>
      </c>
    </row>
    <row r="24">
      <c r="A24" s="20" t="inlineStr">
        <is>
          <t>Resumo</t>
        </is>
      </c>
      <c r="N24" s="21" t="inlineStr">
        <is>
          <t>Fonte confirmada</t>
        </is>
      </c>
      <c r="O24" s="21" t="inlineStr">
        <is>
          <t>Dado existe</t>
        </is>
      </c>
    </row>
    <row r="25">
      <c r="M25" s="22" t="inlineStr">
        <is>
          <t>Sim</t>
        </is>
      </c>
      <c r="N25" s="23">
        <f>COUNTIF(N$5:N$22,$M25)</f>
        <v/>
      </c>
      <c r="O25" s="23">
        <f>COUNTIF(O$5:O$22,$M25)</f>
        <v/>
      </c>
    </row>
    <row r="26">
      <c r="M26" s="22" t="inlineStr">
        <is>
          <t>Parcial</t>
        </is>
      </c>
      <c r="N26" s="23">
        <f>COUNTIF(N$5:N$22,$M26)</f>
        <v/>
      </c>
      <c r="O26" s="23">
        <f>COUNTIF(O$5:O$22,$M26)</f>
        <v/>
      </c>
    </row>
    <row r="27">
      <c r="M27" s="22" t="inlineStr">
        <is>
          <t>Não</t>
        </is>
      </c>
      <c r="N27" s="23">
        <f>COUNTIF(N$5:N$22,$M27)</f>
        <v/>
      </c>
      <c r="O27" s="23">
        <f>COUNTIF(O$5:O$22,$M27)</f>
        <v/>
      </c>
    </row>
    <row r="28">
      <c r="M28" s="22" t="inlineStr">
        <is>
          <t>Pendente</t>
        </is>
      </c>
      <c r="N28" s="23">
        <f>COUNTIF(N$5:N$22,$M28)</f>
        <v/>
      </c>
      <c r="O28" s="23">
        <f>COUNTIF(O$5:O$22,$M28)</f>
        <v/>
      </c>
    </row>
    <row r="29">
      <c r="M29" s="24" t="inlineStr">
        <is>
          <t>Subcritérios com fonte e dado confirmados</t>
        </is>
      </c>
      <c r="O29" s="25">
        <f>COUNTIFS(N5:N22,"Sim",O5:O22,"Sim")&amp;" de "&amp;ROWS(N5:N22)</f>
        <v/>
      </c>
    </row>
  </sheetData>
  <autoFilter ref="A4:Q22"/>
  <mergeCells count="1">
    <mergeCell ref="A2:Q2"/>
  </mergeCells>
  <conditionalFormatting sqref="N5:O22">
    <cfRule type="cellIs" priority="1" operator="equal" dxfId="0">
      <formula>"Sim"</formula>
    </cfRule>
    <cfRule type="cellIs" priority="2" operator="equal" dxfId="1">
      <formula>"Não"</formula>
    </cfRule>
    <cfRule type="cellIs" priority="3" operator="equal" dxfId="2">
      <formula>"Parcial"</formula>
    </cfRule>
  </conditionalFormatting>
  <dataValidations count="1">
    <dataValidation sqref="N5:O22" showDropDown="0" showInputMessage="0" showErrorMessage="0" allowBlank="1" type="list">
      <formula1>"Sim,Não,Parcial,Pendente"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I34"/>
  <sheetViews>
    <sheetView workbookViewId="0">
      <pane xSplit="8" ySplit="6" topLeftCell="I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42" customWidth="1" min="3" max="3"/>
    <col width="8" customWidth="1" min="4" max="4"/>
    <col width="12" customWidth="1" min="5" max="5"/>
    <col width="11" customWidth="1" min="6" max="6"/>
    <col width="11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1" customWidth="1" min="16" max="16"/>
    <col width="11" customWidth="1" min="17" max="17"/>
    <col width="11" customWidth="1" min="18" max="18"/>
    <col width="13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3" customWidth="1" min="26" max="26"/>
    <col width="11" customWidth="1" min="27" max="27"/>
    <col width="11" customWidth="1" min="28" max="28"/>
    <col width="11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>
      <c r="A1" s="1" t="inlineStr">
        <is>
          <t>Recife Resiliente — Notas dos pontos críticos da RPA 6 e cálculo do risco</t>
        </is>
      </c>
    </row>
    <row r="2" ht="40" customHeight="1">
      <c r="A2" s="2" t="inlineStr">
        <is>
          <t>Preencha as notas (1 a 5, 5 = mais crítico) nas células amarelas, conforme as escalas da aba 'Checklist subcritérios'. Linha 'Peso': vazia = todos os pesos iguais. Nota em branco fica fora da média (não vira zero). Sem nota de Probabilidade não há risco. P6 e V1 são condicionais e I3, V5 e V6 ainda não têm definição: deixe em branco se não forem usados. Colunas cinza são calculadas: não edite. 'Grupo de sobreposição' (G1–G5) = pontos cujos círculos de 300 m se sobrepõem; vazio = ponto isolado. Coordenadas em graus decimais (WGS 84), ainda NÃO verificadas: 'Aproximado' e 'Interseção' foram localizadas automaticamente pelo OpenStreetMap.</t>
        </is>
      </c>
    </row>
    <row r="4">
      <c r="I4" s="26" t="inlineStr">
        <is>
          <t>Probabilidade</t>
        </is>
      </c>
      <c r="P4" s="27" t="inlineStr">
        <is>
          <t>Exposição</t>
        </is>
      </c>
      <c r="T4" s="28" t="inlineStr">
        <is>
          <t>Vulnerabilidade</t>
        </is>
      </c>
      <c r="AA4" s="29" t="inlineStr">
        <is>
          <t>Impacto</t>
        </is>
      </c>
      <c r="AE4" s="30" t="inlineStr">
        <is>
          <t>Resultado</t>
        </is>
      </c>
    </row>
    <row r="5">
      <c r="H5" s="31" t="inlineStr">
        <is>
          <t>Peso →</t>
        </is>
      </c>
      <c r="I5" s="32" t="n"/>
      <c r="J5" s="32" t="n"/>
      <c r="K5" s="32" t="n"/>
      <c r="L5" s="32" t="n"/>
      <c r="M5" s="32" t="n"/>
      <c r="N5" s="32" t="n"/>
      <c r="O5" s="33" t="inlineStr">
        <is>
          <t>(multiplica)</t>
        </is>
      </c>
      <c r="P5" s="32" t="n"/>
      <c r="Q5" s="32" t="n"/>
      <c r="R5" s="32" t="n"/>
      <c r="S5" s="34" t="n"/>
      <c r="T5" s="32" t="n"/>
      <c r="U5" s="32" t="n"/>
      <c r="V5" s="32" t="n"/>
      <c r="W5" s="32" t="n"/>
      <c r="X5" s="32" t="n"/>
      <c r="Y5" s="32" t="n"/>
      <c r="Z5" s="34" t="n"/>
      <c r="AA5" s="32" t="n"/>
      <c r="AB5" s="32" t="n"/>
      <c r="AC5" s="32" t="n"/>
      <c r="AD5" s="34" t="n"/>
    </row>
    <row r="6" ht="54" customHeight="1">
      <c r="A6" s="35" t="inlineStr">
        <is>
          <t>ID</t>
        </is>
      </c>
      <c r="B6" s="35" t="inlineStr">
        <is>
          <t>Bairro</t>
        </is>
      </c>
      <c r="C6" s="35" t="inlineStr">
        <is>
          <t>Trecho</t>
        </is>
      </c>
      <c r="D6" s="35" t="inlineStr">
        <is>
          <t>Tipo</t>
        </is>
      </c>
      <c r="E6" s="35" t="inlineStr">
        <is>
          <t>Grupo de
sobreposição</t>
        </is>
      </c>
      <c r="F6" s="35" t="inlineStr">
        <is>
          <t>Latitude</t>
        </is>
      </c>
      <c r="G6" s="35" t="inlineStr">
        <is>
          <t>Longitude</t>
        </is>
      </c>
      <c r="H6" s="35" t="inlineStr">
        <is>
          <t>Precisão da
coordenada</t>
        </is>
      </c>
      <c r="I6" s="36" t="inlineStr">
        <is>
          <t>P1
Frequência e recorrência histórica</t>
        </is>
      </c>
      <c r="J6" s="36" t="inlineStr">
        <is>
          <t>P2
Severidade</t>
        </is>
      </c>
      <c r="K6" s="36" t="inlineStr">
        <is>
          <t>P3
Influência da maré</t>
        </is>
      </c>
      <c r="L6" s="36" t="inlineStr">
        <is>
          <t>P4
Proximidade de rio ou canal</t>
        </is>
      </c>
      <c r="M6" s="36" t="inlineStr">
        <is>
          <t>P5
Impermeabilização</t>
        </is>
      </c>
      <c r="N6" s="36" t="inlineStr">
        <is>
          <t>P6
Relevo (baixio)</t>
        </is>
      </c>
      <c r="O6" s="37" t="inlineStr">
        <is>
          <t>Nota
Probabilidade</t>
        </is>
      </c>
      <c r="P6" s="38" t="inlineStr">
        <is>
          <t>E1
População</t>
        </is>
      </c>
      <c r="Q6" s="38" t="inlineStr">
        <is>
          <t>E2
Equipamentos públicos</t>
        </is>
      </c>
      <c r="R6" s="38" t="inlineStr">
        <is>
          <t>E3
Comércio e serviços</t>
        </is>
      </c>
      <c r="S6" s="37" t="inlineStr">
        <is>
          <t>Nota
Exposição</t>
        </is>
      </c>
      <c r="T6" s="39" t="inlineStr">
        <is>
          <t>V2
População vulnerável</t>
        </is>
      </c>
      <c r="U6" s="39" t="inlineStr">
        <is>
          <t>V3
ZEIS, favelas e comunidades</t>
        </is>
      </c>
      <c r="V6" s="39" t="inlineStr">
        <is>
          <t>V4
Tipo de moradia</t>
        </is>
      </c>
      <c r="W6" s="39" t="inlineStr">
        <is>
          <t>V5
Dificuldade de evacuação</t>
        </is>
      </c>
      <c r="X6" s="39" t="inlineStr">
        <is>
          <t>V6
Infraestrutura precária</t>
        </is>
      </c>
      <c r="Y6" s="39" t="inlineStr">
        <is>
          <t>V1
Vulnerabilidade social (IVS)</t>
        </is>
      </c>
      <c r="Z6" s="37" t="inlineStr">
        <is>
          <t>Nota
Vulnerabilidade</t>
        </is>
      </c>
      <c r="AA6" s="40" t="inlineStr">
        <is>
          <t>I1
Tipo de via</t>
        </is>
      </c>
      <c r="AB6" s="40" t="inlineStr">
        <is>
          <t>I2
Risco sanitário</t>
        </is>
      </c>
      <c r="AC6" s="40" t="inlineStr">
        <is>
          <t>I3
Isolamento</t>
        </is>
      </c>
      <c r="AD6" s="37" t="inlineStr">
        <is>
          <t>Nota
Impacto</t>
        </is>
      </c>
      <c r="AE6" s="41" t="inlineStr">
        <is>
          <t>Consequência
(1–5)</t>
        </is>
      </c>
      <c r="AF6" s="41" t="inlineStr">
        <is>
          <t>Risco
P × C (1–25)</t>
        </is>
      </c>
      <c r="AG6" s="41" t="inlineStr">
        <is>
          <t>Índice de risco
(0–1)</t>
        </is>
      </c>
      <c r="AH6" s="41" t="inlineStr">
        <is>
          <t>Posição</t>
        </is>
      </c>
      <c r="AI6" s="41" t="inlineStr">
        <is>
          <t>Notas
preenchidas</t>
        </is>
      </c>
    </row>
    <row r="7">
      <c r="A7" s="42" t="n">
        <v>5</v>
      </c>
      <c r="B7" s="42" t="inlineStr">
        <is>
          <t>Boa Viagem</t>
        </is>
      </c>
      <c r="C7" s="43" t="inlineStr">
        <is>
          <t>Avenida Conselheiro Aguiar (Interseção com a Rua Tenente João Cícero)</t>
        </is>
      </c>
      <c r="D7" s="42" t="inlineStr">
        <is>
          <t>Ponto</t>
        </is>
      </c>
      <c r="E7" s="42" t="inlineStr">
        <is>
          <t>G1</t>
        </is>
      </c>
      <c r="F7" s="44" t="n">
        <v>-8.113732000000001</v>
      </c>
      <c r="G7" s="44" t="n">
        <v>-34.893163</v>
      </c>
      <c r="H7" s="42" t="inlineStr">
        <is>
          <t>Interseção</t>
        </is>
      </c>
      <c r="I7" s="45" t="n"/>
      <c r="J7" s="45" t="n"/>
      <c r="K7" s="45" t="n"/>
      <c r="L7" s="45" t="n"/>
      <c r="M7" s="45" t="n"/>
      <c r="N7" s="45" t="n"/>
      <c r="O7" s="46">
        <f>IF(COUNT(I7:N7)=0,"",IFERROR(SUMPRODUCT(I7:N7,(I$5:N$5+(I$5:N$5="")))/SUMPRODUCT((I7:N7&lt;&gt;"")*(I$5:N$5+(I$5:N$5=""))),""))</f>
        <v/>
      </c>
      <c r="P7" s="45" t="n"/>
      <c r="Q7" s="45" t="n"/>
      <c r="R7" s="45" t="n"/>
      <c r="S7" s="46">
        <f>IF(COUNT(P7:R7)=0,"",IFERROR(SUMPRODUCT(P7:R7,(P$5:R$5+(P$5:R$5="")))/SUMPRODUCT((P7:R7&lt;&gt;"")*(P$5:R$5+(P$5:R$5=""))),""))</f>
        <v/>
      </c>
      <c r="T7" s="45" t="n"/>
      <c r="U7" s="45" t="n"/>
      <c r="V7" s="45" t="n"/>
      <c r="W7" s="45" t="n"/>
      <c r="X7" s="45" t="n"/>
      <c r="Y7" s="45" t="n"/>
      <c r="Z7" s="46">
        <f>IF(COUNT(T7:Y7)=0,"",IFERROR(SUMPRODUCT(T7:Y7,(T$5:Y$5+(T$5:Y$5="")))/SUMPRODUCT((T7:Y7&lt;&gt;"")*(T$5:Y$5+(T$5:Y$5=""))),""))</f>
        <v/>
      </c>
      <c r="AA7" s="45" t="n"/>
      <c r="AB7" s="45" t="n"/>
      <c r="AC7" s="45" t="n"/>
      <c r="AD7" s="46">
        <f>IF(COUNT(AA7:AC7)=0,"",IFERROR(SUMPRODUCT(AA7:AC7,(AA$5:AC$5+(AA$5:AC$5="")))/SUMPRODUCT((AA7:AC7&lt;&gt;"")*(AA$5:AC$5+(AA$5:AC$5=""))),""))</f>
        <v/>
      </c>
      <c r="AE7" s="46">
        <f>IFERROR(IF((ISNUMBER(S7)*(S$5+(S$5=""))+ISNUMBER(Z7)*(Z$5+(Z$5=""))+ISNUMBER(AD7)*(AD$5+(AD$5="")))=0,"",(N(S7)*(S$5+(S$5=""))+N(Z7)*(Z$5+(Z$5=""))+N(AD7)*(AD$5+(AD$5="")))/(ISNUMBER(S7)*(S$5+(S$5=""))+ISNUMBER(Z7)*(Z$5+(Z$5=""))+ISNUMBER(AD7)*(AD$5+(AD$5="")))),"")</f>
        <v/>
      </c>
      <c r="AF7" s="47">
        <f>IF(AND(ISNUMBER(O7),ISNUMBER(AE7)),O7*AE7,"")</f>
        <v/>
      </c>
      <c r="AG7" s="48">
        <f>IF(ISNUMBER(AF7),(AF7-1)/24,"")</f>
        <v/>
      </c>
      <c r="AH7" s="49">
        <f>IF(ISNUMBER(AF7),COUNTIF(AF$7:AF$27,"&gt;"&amp;AF7)+1,"")</f>
        <v/>
      </c>
      <c r="AI7" s="50">
        <f>COUNT(I7,J7,K7,L7,M7,N7,P7,Q7,R7,T7,U7,V7,W7,X7,Y7,AA7,AB7,AC7)</f>
        <v/>
      </c>
    </row>
    <row r="8">
      <c r="A8" s="42" t="n">
        <v>6</v>
      </c>
      <c r="B8" s="42" t="inlineStr">
        <is>
          <t>Boa Viagem</t>
        </is>
      </c>
      <c r="C8" s="43" t="inlineStr">
        <is>
          <t>Avenida Conselheiro Aguiar (Interseção com a Rua Dona Benvinda)</t>
        </is>
      </c>
      <c r="D8" s="42" t="inlineStr">
        <is>
          <t>Ponto</t>
        </is>
      </c>
      <c r="E8" s="42" t="inlineStr">
        <is>
          <t>G1</t>
        </is>
      </c>
      <c r="F8" s="44" t="n">
        <v>-8.111008999999999</v>
      </c>
      <c r="G8" s="44" t="n">
        <v>-34.891491</v>
      </c>
      <c r="H8" s="42" t="inlineStr">
        <is>
          <t>Interseção</t>
        </is>
      </c>
      <c r="I8" s="45" t="n"/>
      <c r="J8" s="45" t="n"/>
      <c r="K8" s="45" t="n"/>
      <c r="L8" s="45" t="n"/>
      <c r="M8" s="45" t="n"/>
      <c r="N8" s="45" t="n"/>
      <c r="O8" s="46">
        <f>IF(COUNT(I8:N8)=0,"",IFERROR(SUMPRODUCT(I8:N8,(I$5:N$5+(I$5:N$5="")))/SUMPRODUCT((I8:N8&lt;&gt;"")*(I$5:N$5+(I$5:N$5=""))),""))</f>
        <v/>
      </c>
      <c r="P8" s="45" t="n"/>
      <c r="Q8" s="45" t="n"/>
      <c r="R8" s="45" t="n"/>
      <c r="S8" s="46">
        <f>IF(COUNT(P8:R8)=0,"",IFERROR(SUMPRODUCT(P8:R8,(P$5:R$5+(P$5:R$5="")))/SUMPRODUCT((P8:R8&lt;&gt;"")*(P$5:R$5+(P$5:R$5=""))),""))</f>
        <v/>
      </c>
      <c r="T8" s="45" t="n"/>
      <c r="U8" s="45" t="n"/>
      <c r="V8" s="45" t="n"/>
      <c r="W8" s="45" t="n"/>
      <c r="X8" s="45" t="n"/>
      <c r="Y8" s="45" t="n"/>
      <c r="Z8" s="46">
        <f>IF(COUNT(T8:Y8)=0,"",IFERROR(SUMPRODUCT(T8:Y8,(T$5:Y$5+(T$5:Y$5="")))/SUMPRODUCT((T8:Y8&lt;&gt;"")*(T$5:Y$5+(T$5:Y$5=""))),""))</f>
        <v/>
      </c>
      <c r="AA8" s="45" t="n"/>
      <c r="AB8" s="45" t="n"/>
      <c r="AC8" s="45" t="n"/>
      <c r="AD8" s="46">
        <f>IF(COUNT(AA8:AC8)=0,"",IFERROR(SUMPRODUCT(AA8:AC8,(AA$5:AC$5+(AA$5:AC$5="")))/SUMPRODUCT((AA8:AC8&lt;&gt;"")*(AA$5:AC$5+(AA$5:AC$5=""))),""))</f>
        <v/>
      </c>
      <c r="AE8" s="46">
        <f>IFERROR(IF((ISNUMBER(S8)*(S$5+(S$5=""))+ISNUMBER(Z8)*(Z$5+(Z$5=""))+ISNUMBER(AD8)*(AD$5+(AD$5="")))=0,"",(N(S8)*(S$5+(S$5=""))+N(Z8)*(Z$5+(Z$5=""))+N(AD8)*(AD$5+(AD$5="")))/(ISNUMBER(S8)*(S$5+(S$5=""))+ISNUMBER(Z8)*(Z$5+(Z$5=""))+ISNUMBER(AD8)*(AD$5+(AD$5="")))),"")</f>
        <v/>
      </c>
      <c r="AF8" s="47">
        <f>IF(AND(ISNUMBER(O8),ISNUMBER(AE8)),O8*AE8,"")</f>
        <v/>
      </c>
      <c r="AG8" s="48">
        <f>IF(ISNUMBER(AF8),(AF8-1)/24,"")</f>
        <v/>
      </c>
      <c r="AH8" s="49">
        <f>IF(ISNUMBER(AF8),COUNTIF(AF$7:AF$27,"&gt;"&amp;AF8)+1,"")</f>
        <v/>
      </c>
      <c r="AI8" s="50">
        <f>COUNT(I8,J8,K8,L8,M8,N8,P8,Q8,R8,T8,U8,V8,W8,X8,Y8,AA8,AB8,AC8)</f>
        <v/>
      </c>
    </row>
    <row r="9">
      <c r="A9" s="42" t="n">
        <v>7</v>
      </c>
      <c r="B9" s="42" t="inlineStr">
        <is>
          <t>Boa Viagem</t>
        </is>
      </c>
      <c r="C9" s="43" t="inlineStr">
        <is>
          <t>Avenida Conselheiro Aguiar (Interseção com a Rua Maria Carolina)</t>
        </is>
      </c>
      <c r="D9" s="42" t="inlineStr">
        <is>
          <t>Ponto</t>
        </is>
      </c>
      <c r="E9" s="42" t="inlineStr">
        <is>
          <t>G1</t>
        </is>
      </c>
      <c r="F9" s="44" t="n">
        <v>-8.11538</v>
      </c>
      <c r="G9" s="44" t="n">
        <v>-34.894176</v>
      </c>
      <c r="H9" s="42" t="inlineStr">
        <is>
          <t>Interseção</t>
        </is>
      </c>
      <c r="I9" s="45" t="n"/>
      <c r="J9" s="45" t="n"/>
      <c r="K9" s="45" t="n"/>
      <c r="L9" s="45" t="n"/>
      <c r="M9" s="45" t="n"/>
      <c r="N9" s="45" t="n"/>
      <c r="O9" s="46">
        <f>IF(COUNT(I9:N9)=0,"",IFERROR(SUMPRODUCT(I9:N9,(I$5:N$5+(I$5:N$5="")))/SUMPRODUCT((I9:N9&lt;&gt;"")*(I$5:N$5+(I$5:N$5=""))),""))</f>
        <v/>
      </c>
      <c r="P9" s="45" t="n"/>
      <c r="Q9" s="45" t="n"/>
      <c r="R9" s="45" t="n"/>
      <c r="S9" s="46">
        <f>IF(COUNT(P9:R9)=0,"",IFERROR(SUMPRODUCT(P9:R9,(P$5:R$5+(P$5:R$5="")))/SUMPRODUCT((P9:R9&lt;&gt;"")*(P$5:R$5+(P$5:R$5=""))),""))</f>
        <v/>
      </c>
      <c r="T9" s="45" t="n"/>
      <c r="U9" s="45" t="n"/>
      <c r="V9" s="45" t="n"/>
      <c r="W9" s="45" t="n"/>
      <c r="X9" s="45" t="n"/>
      <c r="Y9" s="45" t="n"/>
      <c r="Z9" s="46">
        <f>IF(COUNT(T9:Y9)=0,"",IFERROR(SUMPRODUCT(T9:Y9,(T$5:Y$5+(T$5:Y$5="")))/SUMPRODUCT((T9:Y9&lt;&gt;"")*(T$5:Y$5+(T$5:Y$5=""))),""))</f>
        <v/>
      </c>
      <c r="AA9" s="45" t="n"/>
      <c r="AB9" s="45" t="n"/>
      <c r="AC9" s="45" t="n"/>
      <c r="AD9" s="46">
        <f>IF(COUNT(AA9:AC9)=0,"",IFERROR(SUMPRODUCT(AA9:AC9,(AA$5:AC$5+(AA$5:AC$5="")))/SUMPRODUCT((AA9:AC9&lt;&gt;"")*(AA$5:AC$5+(AA$5:AC$5=""))),""))</f>
        <v/>
      </c>
      <c r="AE9" s="46">
        <f>IFERROR(IF((ISNUMBER(S9)*(S$5+(S$5=""))+ISNUMBER(Z9)*(Z$5+(Z$5=""))+ISNUMBER(AD9)*(AD$5+(AD$5="")))=0,"",(N(S9)*(S$5+(S$5=""))+N(Z9)*(Z$5+(Z$5=""))+N(AD9)*(AD$5+(AD$5="")))/(ISNUMBER(S9)*(S$5+(S$5=""))+ISNUMBER(Z9)*(Z$5+(Z$5=""))+ISNUMBER(AD9)*(AD$5+(AD$5="")))),"")</f>
        <v/>
      </c>
      <c r="AF9" s="47">
        <f>IF(AND(ISNUMBER(O9),ISNUMBER(AE9)),O9*AE9,"")</f>
        <v/>
      </c>
      <c r="AG9" s="48">
        <f>IF(ISNUMBER(AF9),(AF9-1)/24,"")</f>
        <v/>
      </c>
      <c r="AH9" s="49">
        <f>IF(ISNUMBER(AF9),COUNTIF(AF$7:AF$27,"&gt;"&amp;AF9)+1,"")</f>
        <v/>
      </c>
      <c r="AI9" s="50">
        <f>COUNT(I9,J9,K9,L9,M9,N9,P9,Q9,R9,T9,U9,V9,W9,X9,Y9,AA9,AB9,AC9)</f>
        <v/>
      </c>
    </row>
    <row r="10">
      <c r="A10" s="42" t="n">
        <v>8</v>
      </c>
      <c r="B10" s="42" t="inlineStr">
        <is>
          <t>Boa Viagem</t>
        </is>
      </c>
      <c r="C10" s="43" t="inlineStr">
        <is>
          <t>Avenida Conselheiro Aguiar (Do nº 1501 até a Rua Baltazar Pereira)</t>
        </is>
      </c>
      <c r="D10" s="42" t="inlineStr">
        <is>
          <t>Linha</t>
        </is>
      </c>
      <c r="E10" s="42" t="inlineStr">
        <is>
          <t>G2</t>
        </is>
      </c>
      <c r="F10" s="44" t="n">
        <v>-8.101065999999999</v>
      </c>
      <c r="G10" s="44" t="n">
        <v>-34.886765</v>
      </c>
      <c r="H10" s="42" t="inlineStr">
        <is>
          <t>Interseção</t>
        </is>
      </c>
      <c r="I10" s="45" t="n"/>
      <c r="J10" s="45" t="n"/>
      <c r="K10" s="45" t="n"/>
      <c r="L10" s="45" t="n"/>
      <c r="M10" s="45" t="n"/>
      <c r="N10" s="45" t="n"/>
      <c r="O10" s="46">
        <f>IF(COUNT(I10:N10)=0,"",IFERROR(SUMPRODUCT(I10:N10,(I$5:N$5+(I$5:N$5="")))/SUMPRODUCT((I10:N10&lt;&gt;"")*(I$5:N$5+(I$5:N$5=""))),""))</f>
        <v/>
      </c>
      <c r="P10" s="45" t="n"/>
      <c r="Q10" s="45" t="n"/>
      <c r="R10" s="45" t="n"/>
      <c r="S10" s="46">
        <f>IF(COUNT(P10:R10)=0,"",IFERROR(SUMPRODUCT(P10:R10,(P$5:R$5+(P$5:R$5="")))/SUMPRODUCT((P10:R10&lt;&gt;"")*(P$5:R$5+(P$5:R$5=""))),""))</f>
        <v/>
      </c>
      <c r="T10" s="45" t="n"/>
      <c r="U10" s="45" t="n"/>
      <c r="V10" s="45" t="n"/>
      <c r="W10" s="45" t="n"/>
      <c r="X10" s="45" t="n"/>
      <c r="Y10" s="45" t="n"/>
      <c r="Z10" s="46">
        <f>IF(COUNT(T10:Y10)=0,"",IFERROR(SUMPRODUCT(T10:Y10,(T$5:Y$5+(T$5:Y$5="")))/SUMPRODUCT((T10:Y10&lt;&gt;"")*(T$5:Y$5+(T$5:Y$5=""))),""))</f>
        <v/>
      </c>
      <c r="AA10" s="45" t="n"/>
      <c r="AB10" s="45" t="n"/>
      <c r="AC10" s="45" t="n"/>
      <c r="AD10" s="46">
        <f>IF(COUNT(AA10:AC10)=0,"",IFERROR(SUMPRODUCT(AA10:AC10,(AA$5:AC$5+(AA$5:AC$5="")))/SUMPRODUCT((AA10:AC10&lt;&gt;"")*(AA$5:AC$5+(AA$5:AC$5=""))),""))</f>
        <v/>
      </c>
      <c r="AE10" s="46">
        <f>IFERROR(IF((ISNUMBER(S10)*(S$5+(S$5=""))+ISNUMBER(Z10)*(Z$5+(Z$5=""))+ISNUMBER(AD10)*(AD$5+(AD$5="")))=0,"",(N(S10)*(S$5+(S$5=""))+N(Z10)*(Z$5+(Z$5=""))+N(AD10)*(AD$5+(AD$5="")))/(ISNUMBER(S10)*(S$5+(S$5=""))+ISNUMBER(Z10)*(Z$5+(Z$5=""))+ISNUMBER(AD10)*(AD$5+(AD$5="")))),"")</f>
        <v/>
      </c>
      <c r="AF10" s="47">
        <f>IF(AND(ISNUMBER(O10),ISNUMBER(AE10)),O10*AE10,"")</f>
        <v/>
      </c>
      <c r="AG10" s="48">
        <f>IF(ISNUMBER(AF10),(AF10-1)/24,"")</f>
        <v/>
      </c>
      <c r="AH10" s="49">
        <f>IF(ISNUMBER(AF10),COUNTIF(AF$7:AF$27,"&gt;"&amp;AF10)+1,"")</f>
        <v/>
      </c>
      <c r="AI10" s="50">
        <f>COUNT(I10,J10,K10,L10,M10,N10,P10,Q10,R10,T10,U10,V10,W10,X10,Y10,AA10,AB10,AC10)</f>
        <v/>
      </c>
    </row>
    <row r="11">
      <c r="A11" s="42" t="n">
        <v>9</v>
      </c>
      <c r="B11" s="42" t="inlineStr">
        <is>
          <t>Imbiribeira</t>
        </is>
      </c>
      <c r="C11" s="43" t="inlineStr">
        <is>
          <t>Avenida Mascarenhas de Moraes (Da Rua General Mac Arthur até a Universo)</t>
        </is>
      </c>
      <c r="D11" s="42" t="inlineStr">
        <is>
          <t>Linha</t>
        </is>
      </c>
      <c r="E11" s="42" t="inlineStr">
        <is>
          <t>G3</t>
        </is>
      </c>
      <c r="F11" s="44" t="n">
        <v>-8.108934</v>
      </c>
      <c r="G11" s="44" t="n">
        <v>-34.911777</v>
      </c>
      <c r="H11" s="42" t="inlineStr">
        <is>
          <t>Interseção</t>
        </is>
      </c>
      <c r="I11" s="45" t="n"/>
      <c r="J11" s="45" t="n"/>
      <c r="K11" s="45" t="n"/>
      <c r="L11" s="45" t="n"/>
      <c r="M11" s="45" t="n"/>
      <c r="N11" s="45" t="n"/>
      <c r="O11" s="46">
        <f>IF(COUNT(I11:N11)=0,"",IFERROR(SUMPRODUCT(I11:N11,(I$5:N$5+(I$5:N$5="")))/SUMPRODUCT((I11:N11&lt;&gt;"")*(I$5:N$5+(I$5:N$5=""))),""))</f>
        <v/>
      </c>
      <c r="P11" s="45" t="n"/>
      <c r="Q11" s="45" t="n"/>
      <c r="R11" s="45" t="n"/>
      <c r="S11" s="46">
        <f>IF(COUNT(P11:R11)=0,"",IFERROR(SUMPRODUCT(P11:R11,(P$5:R$5+(P$5:R$5="")))/SUMPRODUCT((P11:R11&lt;&gt;"")*(P$5:R$5+(P$5:R$5=""))),""))</f>
        <v/>
      </c>
      <c r="T11" s="45" t="n"/>
      <c r="U11" s="45" t="n"/>
      <c r="V11" s="45" t="n"/>
      <c r="W11" s="45" t="n"/>
      <c r="X11" s="45" t="n"/>
      <c r="Y11" s="45" t="n"/>
      <c r="Z11" s="46">
        <f>IF(COUNT(T11:Y11)=0,"",IFERROR(SUMPRODUCT(T11:Y11,(T$5:Y$5+(T$5:Y$5="")))/SUMPRODUCT((T11:Y11&lt;&gt;"")*(T$5:Y$5+(T$5:Y$5=""))),""))</f>
        <v/>
      </c>
      <c r="AA11" s="45" t="n"/>
      <c r="AB11" s="45" t="n"/>
      <c r="AC11" s="45" t="n"/>
      <c r="AD11" s="46">
        <f>IF(COUNT(AA11:AC11)=0,"",IFERROR(SUMPRODUCT(AA11:AC11,(AA$5:AC$5+(AA$5:AC$5="")))/SUMPRODUCT((AA11:AC11&lt;&gt;"")*(AA$5:AC$5+(AA$5:AC$5=""))),""))</f>
        <v/>
      </c>
      <c r="AE11" s="46">
        <f>IFERROR(IF((ISNUMBER(S11)*(S$5+(S$5=""))+ISNUMBER(Z11)*(Z$5+(Z$5=""))+ISNUMBER(AD11)*(AD$5+(AD$5="")))=0,"",(N(S11)*(S$5+(S$5=""))+N(Z11)*(Z$5+(Z$5=""))+N(AD11)*(AD$5+(AD$5="")))/(ISNUMBER(S11)*(S$5+(S$5=""))+ISNUMBER(Z11)*(Z$5+(Z$5=""))+ISNUMBER(AD11)*(AD$5+(AD$5="")))),"")</f>
        <v/>
      </c>
      <c r="AF11" s="47">
        <f>IF(AND(ISNUMBER(O11),ISNUMBER(AE11)),O11*AE11,"")</f>
        <v/>
      </c>
      <c r="AG11" s="48">
        <f>IF(ISNUMBER(AF11),(AF11-1)/24,"")</f>
        <v/>
      </c>
      <c r="AH11" s="49">
        <f>IF(ISNUMBER(AF11),COUNTIF(AF$7:AF$27,"&gt;"&amp;AF11)+1,"")</f>
        <v/>
      </c>
      <c r="AI11" s="50">
        <f>COUNT(I11,J11,K11,L11,M11,N11,P11,Q11,R11,T11,U11,V11,W11,X11,Y11,AA11,AB11,AC11)</f>
        <v/>
      </c>
    </row>
    <row r="12">
      <c r="A12" s="42" t="n">
        <v>11</v>
      </c>
      <c r="B12" s="42" t="inlineStr">
        <is>
          <t>Boa Viagem</t>
        </is>
      </c>
      <c r="C12" s="43" t="inlineStr">
        <is>
          <t>Rua Professor José Brandão (Toda a extensão)</t>
        </is>
      </c>
      <c r="D12" s="42" t="inlineStr">
        <is>
          <t>Linha</t>
        </is>
      </c>
      <c r="E12" s="42" t="inlineStr">
        <is>
          <t>G1</t>
        </is>
      </c>
      <c r="F12" s="44" t="n">
        <v>-8.111815999999999</v>
      </c>
      <c r="G12" s="44" t="n">
        <v>-34.894789</v>
      </c>
      <c r="H12" s="42" t="inlineStr">
        <is>
          <t>Aproximado</t>
        </is>
      </c>
      <c r="I12" s="45" t="n"/>
      <c r="J12" s="45" t="n"/>
      <c r="K12" s="45" t="n"/>
      <c r="L12" s="45" t="n"/>
      <c r="M12" s="45" t="n"/>
      <c r="N12" s="45" t="n"/>
      <c r="O12" s="46">
        <f>IF(COUNT(I12:N12)=0,"",IFERROR(SUMPRODUCT(I12:N12,(I$5:N$5+(I$5:N$5="")))/SUMPRODUCT((I12:N12&lt;&gt;"")*(I$5:N$5+(I$5:N$5=""))),""))</f>
        <v/>
      </c>
      <c r="P12" s="45" t="n"/>
      <c r="Q12" s="45" t="n"/>
      <c r="R12" s="45" t="n"/>
      <c r="S12" s="46">
        <f>IF(COUNT(P12:R12)=0,"",IFERROR(SUMPRODUCT(P12:R12,(P$5:R$5+(P$5:R$5="")))/SUMPRODUCT((P12:R12&lt;&gt;"")*(P$5:R$5+(P$5:R$5=""))),""))</f>
        <v/>
      </c>
      <c r="T12" s="45" t="n"/>
      <c r="U12" s="45" t="n"/>
      <c r="V12" s="45" t="n"/>
      <c r="W12" s="45" t="n"/>
      <c r="X12" s="45" t="n"/>
      <c r="Y12" s="45" t="n"/>
      <c r="Z12" s="46">
        <f>IF(COUNT(T12:Y12)=0,"",IFERROR(SUMPRODUCT(T12:Y12,(T$5:Y$5+(T$5:Y$5="")))/SUMPRODUCT((T12:Y12&lt;&gt;"")*(T$5:Y$5+(T$5:Y$5=""))),""))</f>
        <v/>
      </c>
      <c r="AA12" s="45" t="n"/>
      <c r="AB12" s="45" t="n"/>
      <c r="AC12" s="45" t="n"/>
      <c r="AD12" s="46">
        <f>IF(COUNT(AA12:AC12)=0,"",IFERROR(SUMPRODUCT(AA12:AC12,(AA$5:AC$5+(AA$5:AC$5="")))/SUMPRODUCT((AA12:AC12&lt;&gt;"")*(AA$5:AC$5+(AA$5:AC$5=""))),""))</f>
        <v/>
      </c>
      <c r="AE12" s="46">
        <f>IFERROR(IF((ISNUMBER(S12)*(S$5+(S$5=""))+ISNUMBER(Z12)*(Z$5+(Z$5=""))+ISNUMBER(AD12)*(AD$5+(AD$5="")))=0,"",(N(S12)*(S$5+(S$5=""))+N(Z12)*(Z$5+(Z$5=""))+N(AD12)*(AD$5+(AD$5="")))/(ISNUMBER(S12)*(S$5+(S$5=""))+ISNUMBER(Z12)*(Z$5+(Z$5=""))+ISNUMBER(AD12)*(AD$5+(AD$5="")))),"")</f>
        <v/>
      </c>
      <c r="AF12" s="47">
        <f>IF(AND(ISNUMBER(O12),ISNUMBER(AE12)),O12*AE12,"")</f>
        <v/>
      </c>
      <c r="AG12" s="48">
        <f>IF(ISNUMBER(AF12),(AF12-1)/24,"")</f>
        <v/>
      </c>
      <c r="AH12" s="49">
        <f>IF(ISNUMBER(AF12),COUNTIF(AF$7:AF$27,"&gt;"&amp;AF12)+1,"")</f>
        <v/>
      </c>
      <c r="AI12" s="50">
        <f>COUNT(I12,J12,K12,L12,M12,N12,P12,Q12,R12,T12,U12,V12,W12,X12,Y12,AA12,AB12,AC12)</f>
        <v/>
      </c>
    </row>
    <row r="13">
      <c r="A13" s="42" t="n">
        <v>12</v>
      </c>
      <c r="B13" s="42" t="inlineStr">
        <is>
          <t>Boa Viagem</t>
        </is>
      </c>
      <c r="C13" s="43" t="inlineStr">
        <is>
          <t>Rua Padre Bernardino Pessoa (Da Avenida Conselheiro Aguiar até a Via Mangue)</t>
        </is>
      </c>
      <c r="D13" s="42" t="inlineStr">
        <is>
          <t>Linha</t>
        </is>
      </c>
      <c r="E13" s="42" t="inlineStr">
        <is>
          <t>G1</t>
        </is>
      </c>
      <c r="F13" s="44" t="n">
        <v>-8.112935</v>
      </c>
      <c r="G13" s="44" t="n">
        <v>-34.896796</v>
      </c>
      <c r="H13" s="42" t="inlineStr">
        <is>
          <t>Aproximado</t>
        </is>
      </c>
      <c r="I13" s="45" t="n"/>
      <c r="J13" s="45" t="n"/>
      <c r="K13" s="45" t="n"/>
      <c r="L13" s="45" t="n"/>
      <c r="M13" s="45" t="n"/>
      <c r="N13" s="45" t="n"/>
      <c r="O13" s="46">
        <f>IF(COUNT(I13:N13)=0,"",IFERROR(SUMPRODUCT(I13:N13,(I$5:N$5+(I$5:N$5="")))/SUMPRODUCT((I13:N13&lt;&gt;"")*(I$5:N$5+(I$5:N$5=""))),""))</f>
        <v/>
      </c>
      <c r="P13" s="45" t="n"/>
      <c r="Q13" s="45" t="n"/>
      <c r="R13" s="45" t="n"/>
      <c r="S13" s="46">
        <f>IF(COUNT(P13:R13)=0,"",IFERROR(SUMPRODUCT(P13:R13,(P$5:R$5+(P$5:R$5="")))/SUMPRODUCT((P13:R13&lt;&gt;"")*(P$5:R$5+(P$5:R$5=""))),""))</f>
        <v/>
      </c>
      <c r="T13" s="45" t="n"/>
      <c r="U13" s="45" t="n"/>
      <c r="V13" s="45" t="n"/>
      <c r="W13" s="45" t="n"/>
      <c r="X13" s="45" t="n"/>
      <c r="Y13" s="45" t="n"/>
      <c r="Z13" s="46">
        <f>IF(COUNT(T13:Y13)=0,"",IFERROR(SUMPRODUCT(T13:Y13,(T$5:Y$5+(T$5:Y$5="")))/SUMPRODUCT((T13:Y13&lt;&gt;"")*(T$5:Y$5+(T$5:Y$5=""))),""))</f>
        <v/>
      </c>
      <c r="AA13" s="45" t="n"/>
      <c r="AB13" s="45" t="n"/>
      <c r="AC13" s="45" t="n"/>
      <c r="AD13" s="46">
        <f>IF(COUNT(AA13:AC13)=0,"",IFERROR(SUMPRODUCT(AA13:AC13,(AA$5:AC$5+(AA$5:AC$5="")))/SUMPRODUCT((AA13:AC13&lt;&gt;"")*(AA$5:AC$5+(AA$5:AC$5=""))),""))</f>
        <v/>
      </c>
      <c r="AE13" s="46">
        <f>IFERROR(IF((ISNUMBER(S13)*(S$5+(S$5=""))+ISNUMBER(Z13)*(Z$5+(Z$5=""))+ISNUMBER(AD13)*(AD$5+(AD$5="")))=0,"",(N(S13)*(S$5+(S$5=""))+N(Z13)*(Z$5+(Z$5=""))+N(AD13)*(AD$5+(AD$5="")))/(ISNUMBER(S13)*(S$5+(S$5=""))+ISNUMBER(Z13)*(Z$5+(Z$5=""))+ISNUMBER(AD13)*(AD$5+(AD$5="")))),"")</f>
        <v/>
      </c>
      <c r="AF13" s="47">
        <f>IF(AND(ISNUMBER(O13),ISNUMBER(AE13)),O13*AE13,"")</f>
        <v/>
      </c>
      <c r="AG13" s="48">
        <f>IF(ISNUMBER(AF13),(AF13-1)/24,"")</f>
        <v/>
      </c>
      <c r="AH13" s="49">
        <f>IF(ISNUMBER(AF13),COUNTIF(AF$7:AF$27,"&gt;"&amp;AF13)+1,"")</f>
        <v/>
      </c>
      <c r="AI13" s="50">
        <f>COUNT(I13,J13,K13,L13,M13,N13,P13,Q13,R13,T13,U13,V13,W13,X13,Y13,AA13,AB13,AC13)</f>
        <v/>
      </c>
    </row>
    <row r="14">
      <c r="A14" s="42" t="n">
        <v>18</v>
      </c>
      <c r="B14" s="42" t="inlineStr">
        <is>
          <t>Boa Viagem</t>
        </is>
      </c>
      <c r="C14" s="43" t="inlineStr">
        <is>
          <t>Rua Jornalista Alfredo Porto Silveira (Toda a extensão)</t>
        </is>
      </c>
      <c r="D14" s="42" t="inlineStr">
        <is>
          <t>Linha</t>
        </is>
      </c>
      <c r="E14" s="42" t="inlineStr"/>
      <c r="F14" s="44" t="n">
        <v>-8.138795999999999</v>
      </c>
      <c r="G14" s="44" t="n">
        <v>-34.913979</v>
      </c>
      <c r="H14" s="42" t="inlineStr">
        <is>
          <t>Aproximado</t>
        </is>
      </c>
      <c r="I14" s="45" t="n"/>
      <c r="J14" s="45" t="n"/>
      <c r="K14" s="45" t="n"/>
      <c r="L14" s="45" t="n"/>
      <c r="M14" s="45" t="n"/>
      <c r="N14" s="45" t="n"/>
      <c r="O14" s="46">
        <f>IF(COUNT(I14:N14)=0,"",IFERROR(SUMPRODUCT(I14:N14,(I$5:N$5+(I$5:N$5="")))/SUMPRODUCT((I14:N14&lt;&gt;"")*(I$5:N$5+(I$5:N$5=""))),""))</f>
        <v/>
      </c>
      <c r="P14" s="45" t="n"/>
      <c r="Q14" s="45" t="n"/>
      <c r="R14" s="45" t="n"/>
      <c r="S14" s="46">
        <f>IF(COUNT(P14:R14)=0,"",IFERROR(SUMPRODUCT(P14:R14,(P$5:R$5+(P$5:R$5="")))/SUMPRODUCT((P14:R14&lt;&gt;"")*(P$5:R$5+(P$5:R$5=""))),""))</f>
        <v/>
      </c>
      <c r="T14" s="45" t="n"/>
      <c r="U14" s="45" t="n"/>
      <c r="V14" s="45" t="n"/>
      <c r="W14" s="45" t="n"/>
      <c r="X14" s="45" t="n"/>
      <c r="Y14" s="45" t="n"/>
      <c r="Z14" s="46">
        <f>IF(COUNT(T14:Y14)=0,"",IFERROR(SUMPRODUCT(T14:Y14,(T$5:Y$5+(T$5:Y$5="")))/SUMPRODUCT((T14:Y14&lt;&gt;"")*(T$5:Y$5+(T$5:Y$5=""))),""))</f>
        <v/>
      </c>
      <c r="AA14" s="45" t="n"/>
      <c r="AB14" s="45" t="n"/>
      <c r="AC14" s="45" t="n"/>
      <c r="AD14" s="46">
        <f>IF(COUNT(AA14:AC14)=0,"",IFERROR(SUMPRODUCT(AA14:AC14,(AA$5:AC$5+(AA$5:AC$5="")))/SUMPRODUCT((AA14:AC14&lt;&gt;"")*(AA$5:AC$5+(AA$5:AC$5=""))),""))</f>
        <v/>
      </c>
      <c r="AE14" s="46">
        <f>IFERROR(IF((ISNUMBER(S14)*(S$5+(S$5=""))+ISNUMBER(Z14)*(Z$5+(Z$5=""))+ISNUMBER(AD14)*(AD$5+(AD$5="")))=0,"",(N(S14)*(S$5+(S$5=""))+N(Z14)*(Z$5+(Z$5=""))+N(AD14)*(AD$5+(AD$5="")))/(ISNUMBER(S14)*(S$5+(S$5=""))+ISNUMBER(Z14)*(Z$5+(Z$5=""))+ISNUMBER(AD14)*(AD$5+(AD$5="")))),"")</f>
        <v/>
      </c>
      <c r="AF14" s="47">
        <f>IF(AND(ISNUMBER(O14),ISNUMBER(AE14)),O14*AE14,"")</f>
        <v/>
      </c>
      <c r="AG14" s="48">
        <f>IF(ISNUMBER(AF14),(AF14-1)/24,"")</f>
        <v/>
      </c>
      <c r="AH14" s="49">
        <f>IF(ISNUMBER(AF14),COUNTIF(AF$7:AF$27,"&gt;"&amp;AF14)+1,"")</f>
        <v/>
      </c>
      <c r="AI14" s="50">
        <f>COUNT(I14,J14,K14,L14,M14,N14,P14,Q14,R14,T14,U14,V14,W14,X14,Y14,AA14,AB14,AC14)</f>
        <v/>
      </c>
    </row>
    <row r="15">
      <c r="A15" s="42" t="n">
        <v>19</v>
      </c>
      <c r="B15" s="42" t="inlineStr">
        <is>
          <t>Pina</t>
        </is>
      </c>
      <c r="C15" s="43" t="inlineStr">
        <is>
          <t>Rua São Luiz (Final da rua)</t>
        </is>
      </c>
      <c r="D15" s="42" t="inlineStr">
        <is>
          <t>Ponto</t>
        </is>
      </c>
      <c r="E15" s="42" t="inlineStr"/>
      <c r="F15" s="44" t="n">
        <v>-8.089715999999999</v>
      </c>
      <c r="G15" s="44" t="n">
        <v>-34.888275</v>
      </c>
      <c r="H15" s="42" t="inlineStr">
        <is>
          <t>Aproximado</t>
        </is>
      </c>
      <c r="I15" s="45" t="n"/>
      <c r="J15" s="45" t="n"/>
      <c r="K15" s="45" t="n"/>
      <c r="L15" s="45" t="n"/>
      <c r="M15" s="45" t="n"/>
      <c r="N15" s="45" t="n"/>
      <c r="O15" s="46">
        <f>IF(COUNT(I15:N15)=0,"",IFERROR(SUMPRODUCT(I15:N15,(I$5:N$5+(I$5:N$5="")))/SUMPRODUCT((I15:N15&lt;&gt;"")*(I$5:N$5+(I$5:N$5=""))),""))</f>
        <v/>
      </c>
      <c r="P15" s="45" t="n"/>
      <c r="Q15" s="45" t="n"/>
      <c r="R15" s="45" t="n"/>
      <c r="S15" s="46">
        <f>IF(COUNT(P15:R15)=0,"",IFERROR(SUMPRODUCT(P15:R15,(P$5:R$5+(P$5:R$5="")))/SUMPRODUCT((P15:R15&lt;&gt;"")*(P$5:R$5+(P$5:R$5=""))),""))</f>
        <v/>
      </c>
      <c r="T15" s="45" t="n"/>
      <c r="U15" s="45" t="n"/>
      <c r="V15" s="45" t="n"/>
      <c r="W15" s="45" t="n"/>
      <c r="X15" s="45" t="n"/>
      <c r="Y15" s="45" t="n"/>
      <c r="Z15" s="46">
        <f>IF(COUNT(T15:Y15)=0,"",IFERROR(SUMPRODUCT(T15:Y15,(T$5:Y$5+(T$5:Y$5="")))/SUMPRODUCT((T15:Y15&lt;&gt;"")*(T$5:Y$5+(T$5:Y$5=""))),""))</f>
        <v/>
      </c>
      <c r="AA15" s="45" t="n"/>
      <c r="AB15" s="45" t="n"/>
      <c r="AC15" s="45" t="n"/>
      <c r="AD15" s="46">
        <f>IF(COUNT(AA15:AC15)=0,"",IFERROR(SUMPRODUCT(AA15:AC15,(AA$5:AC$5+(AA$5:AC$5="")))/SUMPRODUCT((AA15:AC15&lt;&gt;"")*(AA$5:AC$5+(AA$5:AC$5=""))),""))</f>
        <v/>
      </c>
      <c r="AE15" s="46">
        <f>IFERROR(IF((ISNUMBER(S15)*(S$5+(S$5=""))+ISNUMBER(Z15)*(Z$5+(Z$5=""))+ISNUMBER(AD15)*(AD$5+(AD$5="")))=0,"",(N(S15)*(S$5+(S$5=""))+N(Z15)*(Z$5+(Z$5=""))+N(AD15)*(AD$5+(AD$5="")))/(ISNUMBER(S15)*(S$5+(S$5=""))+ISNUMBER(Z15)*(Z$5+(Z$5=""))+ISNUMBER(AD15)*(AD$5+(AD$5="")))),"")</f>
        <v/>
      </c>
      <c r="AF15" s="47">
        <f>IF(AND(ISNUMBER(O15),ISNUMBER(AE15)),O15*AE15,"")</f>
        <v/>
      </c>
      <c r="AG15" s="48">
        <f>IF(ISNUMBER(AF15),(AF15-1)/24,"")</f>
        <v/>
      </c>
      <c r="AH15" s="49">
        <f>IF(ISNUMBER(AF15),COUNTIF(AF$7:AF$27,"&gt;"&amp;AF15)+1,"")</f>
        <v/>
      </c>
      <c r="AI15" s="50">
        <f>COUNT(I15,J15,K15,L15,M15,N15,P15,Q15,R15,T15,U15,V15,W15,X15,Y15,AA15,AB15,AC15)</f>
        <v/>
      </c>
    </row>
    <row r="16">
      <c r="A16" s="42" t="n">
        <v>22</v>
      </c>
      <c r="B16" s="42" t="inlineStr">
        <is>
          <t>Jordão</t>
        </is>
      </c>
      <c r="C16" s="43" t="inlineStr">
        <is>
          <t>Avenida Maria Irene (Vários trechos)</t>
        </is>
      </c>
      <c r="D16" s="42" t="inlineStr">
        <is>
          <t>Vários</t>
        </is>
      </c>
      <c r="E16" s="42" t="inlineStr"/>
      <c r="F16" s="44" t="n">
        <v>-8.140504999999999</v>
      </c>
      <c r="G16" s="44" t="n">
        <v>-34.927358</v>
      </c>
      <c r="H16" s="42" t="inlineStr">
        <is>
          <t>Aproximado</t>
        </is>
      </c>
      <c r="I16" s="45" t="n"/>
      <c r="J16" s="45" t="n"/>
      <c r="K16" s="45" t="n"/>
      <c r="L16" s="45" t="n"/>
      <c r="M16" s="45" t="n"/>
      <c r="N16" s="45" t="n"/>
      <c r="O16" s="46">
        <f>IF(COUNT(I16:N16)=0,"",IFERROR(SUMPRODUCT(I16:N16,(I$5:N$5+(I$5:N$5="")))/SUMPRODUCT((I16:N16&lt;&gt;"")*(I$5:N$5+(I$5:N$5=""))),""))</f>
        <v/>
      </c>
      <c r="P16" s="45" t="n"/>
      <c r="Q16" s="45" t="n"/>
      <c r="R16" s="45" t="n"/>
      <c r="S16" s="46">
        <f>IF(COUNT(P16:R16)=0,"",IFERROR(SUMPRODUCT(P16:R16,(P$5:R$5+(P$5:R$5="")))/SUMPRODUCT((P16:R16&lt;&gt;"")*(P$5:R$5+(P$5:R$5=""))),""))</f>
        <v/>
      </c>
      <c r="T16" s="45" t="n"/>
      <c r="U16" s="45" t="n"/>
      <c r="V16" s="45" t="n"/>
      <c r="W16" s="45" t="n"/>
      <c r="X16" s="45" t="n"/>
      <c r="Y16" s="45" t="n"/>
      <c r="Z16" s="46">
        <f>IF(COUNT(T16:Y16)=0,"",IFERROR(SUMPRODUCT(T16:Y16,(T$5:Y$5+(T$5:Y$5="")))/SUMPRODUCT((T16:Y16&lt;&gt;"")*(T$5:Y$5+(T$5:Y$5=""))),""))</f>
        <v/>
      </c>
      <c r="AA16" s="45" t="n"/>
      <c r="AB16" s="45" t="n"/>
      <c r="AC16" s="45" t="n"/>
      <c r="AD16" s="46">
        <f>IF(COUNT(AA16:AC16)=0,"",IFERROR(SUMPRODUCT(AA16:AC16,(AA$5:AC$5+(AA$5:AC$5="")))/SUMPRODUCT((AA16:AC16&lt;&gt;"")*(AA$5:AC$5+(AA$5:AC$5=""))),""))</f>
        <v/>
      </c>
      <c r="AE16" s="46">
        <f>IFERROR(IF((ISNUMBER(S16)*(S$5+(S$5=""))+ISNUMBER(Z16)*(Z$5+(Z$5=""))+ISNUMBER(AD16)*(AD$5+(AD$5="")))=0,"",(N(S16)*(S$5+(S$5=""))+N(Z16)*(Z$5+(Z$5=""))+N(AD16)*(AD$5+(AD$5="")))/(ISNUMBER(S16)*(S$5+(S$5=""))+ISNUMBER(Z16)*(Z$5+(Z$5=""))+ISNUMBER(AD16)*(AD$5+(AD$5="")))),"")</f>
        <v/>
      </c>
      <c r="AF16" s="47">
        <f>IF(AND(ISNUMBER(O16),ISNUMBER(AE16)),O16*AE16,"")</f>
        <v/>
      </c>
      <c r="AG16" s="48">
        <f>IF(ISNUMBER(AF16),(AF16-1)/24,"")</f>
        <v/>
      </c>
      <c r="AH16" s="49">
        <f>IF(ISNUMBER(AF16),COUNTIF(AF$7:AF$27,"&gt;"&amp;AF16)+1,"")</f>
        <v/>
      </c>
      <c r="AI16" s="50">
        <f>COUNT(I16,J16,K16,L16,M16,N16,P16,Q16,R16,T16,U16,V16,W16,X16,Y16,AA16,AB16,AC16)</f>
        <v/>
      </c>
    </row>
    <row r="17">
      <c r="A17" s="42" t="n">
        <v>24</v>
      </c>
      <c r="B17" s="42" t="inlineStr">
        <is>
          <t>Ipsep</t>
        </is>
      </c>
      <c r="C17" s="43" t="inlineStr">
        <is>
          <t>Rua Blumenau (Até a maré)</t>
        </is>
      </c>
      <c r="D17" s="42" t="inlineStr">
        <is>
          <t>Linha</t>
        </is>
      </c>
      <c r="E17" s="42" t="inlineStr"/>
      <c r="F17" s="44" t="n">
        <v>-8.107611</v>
      </c>
      <c r="G17" s="44" t="n">
        <v>-34.920256</v>
      </c>
      <c r="H17" s="42" t="inlineStr">
        <is>
          <t>Aproximado</t>
        </is>
      </c>
      <c r="I17" s="45" t="n"/>
      <c r="J17" s="45" t="n"/>
      <c r="K17" s="45" t="n"/>
      <c r="L17" s="45" t="n"/>
      <c r="M17" s="45" t="n"/>
      <c r="N17" s="45" t="n"/>
      <c r="O17" s="46">
        <f>IF(COUNT(I17:N17)=0,"",IFERROR(SUMPRODUCT(I17:N17,(I$5:N$5+(I$5:N$5="")))/SUMPRODUCT((I17:N17&lt;&gt;"")*(I$5:N$5+(I$5:N$5=""))),""))</f>
        <v/>
      </c>
      <c r="P17" s="45" t="n"/>
      <c r="Q17" s="45" t="n"/>
      <c r="R17" s="45" t="n"/>
      <c r="S17" s="46">
        <f>IF(COUNT(P17:R17)=0,"",IFERROR(SUMPRODUCT(P17:R17,(P$5:R$5+(P$5:R$5="")))/SUMPRODUCT((P17:R17&lt;&gt;"")*(P$5:R$5+(P$5:R$5=""))),""))</f>
        <v/>
      </c>
      <c r="T17" s="45" t="n"/>
      <c r="U17" s="45" t="n"/>
      <c r="V17" s="45" t="n"/>
      <c r="W17" s="45" t="n"/>
      <c r="X17" s="45" t="n"/>
      <c r="Y17" s="45" t="n"/>
      <c r="Z17" s="46">
        <f>IF(COUNT(T17:Y17)=0,"",IFERROR(SUMPRODUCT(T17:Y17,(T$5:Y$5+(T$5:Y$5="")))/SUMPRODUCT((T17:Y17&lt;&gt;"")*(T$5:Y$5+(T$5:Y$5=""))),""))</f>
        <v/>
      </c>
      <c r="AA17" s="45" t="n"/>
      <c r="AB17" s="45" t="n"/>
      <c r="AC17" s="45" t="n"/>
      <c r="AD17" s="46">
        <f>IF(COUNT(AA17:AC17)=0,"",IFERROR(SUMPRODUCT(AA17:AC17,(AA$5:AC$5+(AA$5:AC$5="")))/SUMPRODUCT((AA17:AC17&lt;&gt;"")*(AA$5:AC$5+(AA$5:AC$5=""))),""))</f>
        <v/>
      </c>
      <c r="AE17" s="46">
        <f>IFERROR(IF((ISNUMBER(S17)*(S$5+(S$5=""))+ISNUMBER(Z17)*(Z$5+(Z$5=""))+ISNUMBER(AD17)*(AD$5+(AD$5="")))=0,"",(N(S17)*(S$5+(S$5=""))+N(Z17)*(Z$5+(Z$5=""))+N(AD17)*(AD$5+(AD$5="")))/(ISNUMBER(S17)*(S$5+(S$5=""))+ISNUMBER(Z17)*(Z$5+(Z$5=""))+ISNUMBER(AD17)*(AD$5+(AD$5="")))),"")</f>
        <v/>
      </c>
      <c r="AF17" s="47">
        <f>IF(AND(ISNUMBER(O17),ISNUMBER(AE17)),O17*AE17,"")</f>
        <v/>
      </c>
      <c r="AG17" s="48">
        <f>IF(ISNUMBER(AF17),(AF17-1)/24,"")</f>
        <v/>
      </c>
      <c r="AH17" s="49">
        <f>IF(ISNUMBER(AF17),COUNTIF(AF$7:AF$27,"&gt;"&amp;AF17)+1,"")</f>
        <v/>
      </c>
      <c r="AI17" s="50">
        <f>COUNT(I17,J17,K17,L17,M17,N17,P17,Q17,R17,T17,U17,V17,W17,X17,Y17,AA17,AB17,AC17)</f>
        <v/>
      </c>
    </row>
    <row r="18">
      <c r="A18" s="42" t="n">
        <v>25</v>
      </c>
      <c r="B18" s="42" t="inlineStr">
        <is>
          <t>Ipsep</t>
        </is>
      </c>
      <c r="C18" s="43" t="inlineStr">
        <is>
          <t>Rua Raimundo Diniz (Vários trechos)</t>
        </is>
      </c>
      <c r="D18" s="42" t="inlineStr">
        <is>
          <t>Vários</t>
        </is>
      </c>
      <c r="E18" s="42" t="inlineStr"/>
      <c r="F18" s="44" t="n">
        <v>-8.114288</v>
      </c>
      <c r="G18" s="44" t="n">
        <v>-34.921465</v>
      </c>
      <c r="H18" s="42" t="inlineStr">
        <is>
          <t>Aproximado</t>
        </is>
      </c>
      <c r="I18" s="45" t="n"/>
      <c r="J18" s="45" t="n"/>
      <c r="K18" s="45" t="n"/>
      <c r="L18" s="45" t="n"/>
      <c r="M18" s="45" t="n"/>
      <c r="N18" s="45" t="n"/>
      <c r="O18" s="46">
        <f>IF(COUNT(I18:N18)=0,"",IFERROR(SUMPRODUCT(I18:N18,(I$5:N$5+(I$5:N$5="")))/SUMPRODUCT((I18:N18&lt;&gt;"")*(I$5:N$5+(I$5:N$5=""))),""))</f>
        <v/>
      </c>
      <c r="P18" s="45" t="n"/>
      <c r="Q18" s="45" t="n"/>
      <c r="R18" s="45" t="n"/>
      <c r="S18" s="46">
        <f>IF(COUNT(P18:R18)=0,"",IFERROR(SUMPRODUCT(P18:R18,(P$5:R$5+(P$5:R$5="")))/SUMPRODUCT((P18:R18&lt;&gt;"")*(P$5:R$5+(P$5:R$5=""))),""))</f>
        <v/>
      </c>
      <c r="T18" s="45" t="n"/>
      <c r="U18" s="45" t="n"/>
      <c r="V18" s="45" t="n"/>
      <c r="W18" s="45" t="n"/>
      <c r="X18" s="45" t="n"/>
      <c r="Y18" s="45" t="n"/>
      <c r="Z18" s="46">
        <f>IF(COUNT(T18:Y18)=0,"",IFERROR(SUMPRODUCT(T18:Y18,(T$5:Y$5+(T$5:Y$5="")))/SUMPRODUCT((T18:Y18&lt;&gt;"")*(T$5:Y$5+(T$5:Y$5=""))),""))</f>
        <v/>
      </c>
      <c r="AA18" s="45" t="n"/>
      <c r="AB18" s="45" t="n"/>
      <c r="AC18" s="45" t="n"/>
      <c r="AD18" s="46">
        <f>IF(COUNT(AA18:AC18)=0,"",IFERROR(SUMPRODUCT(AA18:AC18,(AA$5:AC$5+(AA$5:AC$5="")))/SUMPRODUCT((AA18:AC18&lt;&gt;"")*(AA$5:AC$5+(AA$5:AC$5=""))),""))</f>
        <v/>
      </c>
      <c r="AE18" s="46">
        <f>IFERROR(IF((ISNUMBER(S18)*(S$5+(S$5=""))+ISNUMBER(Z18)*(Z$5+(Z$5=""))+ISNUMBER(AD18)*(AD$5+(AD$5="")))=0,"",(N(S18)*(S$5+(S$5=""))+N(Z18)*(Z$5+(Z$5=""))+N(AD18)*(AD$5+(AD$5="")))/(ISNUMBER(S18)*(S$5+(S$5=""))+ISNUMBER(Z18)*(Z$5+(Z$5=""))+ISNUMBER(AD18)*(AD$5+(AD$5="")))),"")</f>
        <v/>
      </c>
      <c r="AF18" s="47">
        <f>IF(AND(ISNUMBER(O18),ISNUMBER(AE18)),O18*AE18,"")</f>
        <v/>
      </c>
      <c r="AG18" s="48">
        <f>IF(ISNUMBER(AF18),(AF18-1)/24,"")</f>
        <v/>
      </c>
      <c r="AH18" s="49">
        <f>IF(ISNUMBER(AF18),COUNTIF(AF$7:AF$27,"&gt;"&amp;AF18)+1,"")</f>
        <v/>
      </c>
      <c r="AI18" s="50">
        <f>COUNT(I18,J18,K18,L18,M18,N18,P18,Q18,R18,T18,U18,V18,W18,X18,Y18,AA18,AB18,AC18)</f>
        <v/>
      </c>
    </row>
    <row r="19">
      <c r="A19" s="42" t="n">
        <v>26</v>
      </c>
      <c r="B19" s="42" t="inlineStr">
        <is>
          <t>Boa Viagem</t>
        </is>
      </c>
      <c r="C19" s="43" t="inlineStr">
        <is>
          <t>Avenida Boa Viagem (Antes da Rua Baltazar Passos)</t>
        </is>
      </c>
      <c r="D19" s="42" t="inlineStr">
        <is>
          <t>Ponto</t>
        </is>
      </c>
      <c r="E19" s="42" t="inlineStr"/>
      <c r="F19" s="44" t="n">
        <v>-8.145054999999999</v>
      </c>
      <c r="G19" s="44" t="n">
        <v>-34.905114</v>
      </c>
      <c r="H19" s="42" t="inlineStr">
        <is>
          <t>Interseção</t>
        </is>
      </c>
      <c r="I19" s="45" t="n"/>
      <c r="J19" s="45" t="n"/>
      <c r="K19" s="45" t="n"/>
      <c r="L19" s="45" t="n"/>
      <c r="M19" s="45" t="n"/>
      <c r="N19" s="45" t="n"/>
      <c r="O19" s="46">
        <f>IF(COUNT(I19:N19)=0,"",IFERROR(SUMPRODUCT(I19:N19,(I$5:N$5+(I$5:N$5="")))/SUMPRODUCT((I19:N19&lt;&gt;"")*(I$5:N$5+(I$5:N$5=""))),""))</f>
        <v/>
      </c>
      <c r="P19" s="45" t="n"/>
      <c r="Q19" s="45" t="n"/>
      <c r="R19" s="45" t="n"/>
      <c r="S19" s="46">
        <f>IF(COUNT(P19:R19)=0,"",IFERROR(SUMPRODUCT(P19:R19,(P$5:R$5+(P$5:R$5="")))/SUMPRODUCT((P19:R19&lt;&gt;"")*(P$5:R$5+(P$5:R$5=""))),""))</f>
        <v/>
      </c>
      <c r="T19" s="45" t="n"/>
      <c r="U19" s="45" t="n"/>
      <c r="V19" s="45" t="n"/>
      <c r="W19" s="45" t="n"/>
      <c r="X19" s="45" t="n"/>
      <c r="Y19" s="45" t="n"/>
      <c r="Z19" s="46">
        <f>IF(COUNT(T19:Y19)=0,"",IFERROR(SUMPRODUCT(T19:Y19,(T$5:Y$5+(T$5:Y$5="")))/SUMPRODUCT((T19:Y19&lt;&gt;"")*(T$5:Y$5+(T$5:Y$5=""))),""))</f>
        <v/>
      </c>
      <c r="AA19" s="45" t="n"/>
      <c r="AB19" s="45" t="n"/>
      <c r="AC19" s="45" t="n"/>
      <c r="AD19" s="46">
        <f>IF(COUNT(AA19:AC19)=0,"",IFERROR(SUMPRODUCT(AA19:AC19,(AA$5:AC$5+(AA$5:AC$5="")))/SUMPRODUCT((AA19:AC19&lt;&gt;"")*(AA$5:AC$5+(AA$5:AC$5=""))),""))</f>
        <v/>
      </c>
      <c r="AE19" s="46">
        <f>IFERROR(IF((ISNUMBER(S19)*(S$5+(S$5=""))+ISNUMBER(Z19)*(Z$5+(Z$5=""))+ISNUMBER(AD19)*(AD$5+(AD$5="")))=0,"",(N(S19)*(S$5+(S$5=""))+N(Z19)*(Z$5+(Z$5=""))+N(AD19)*(AD$5+(AD$5="")))/(ISNUMBER(S19)*(S$5+(S$5=""))+ISNUMBER(Z19)*(Z$5+(Z$5=""))+ISNUMBER(AD19)*(AD$5+(AD$5="")))),"")</f>
        <v/>
      </c>
      <c r="AF19" s="47">
        <f>IF(AND(ISNUMBER(O19),ISNUMBER(AE19)),O19*AE19,"")</f>
        <v/>
      </c>
      <c r="AG19" s="48">
        <f>IF(ISNUMBER(AF19),(AF19-1)/24,"")</f>
        <v/>
      </c>
      <c r="AH19" s="49">
        <f>IF(ISNUMBER(AF19),COUNTIF(AF$7:AF$27,"&gt;"&amp;AF19)+1,"")</f>
        <v/>
      </c>
      <c r="AI19" s="50">
        <f>COUNT(I19,J19,K19,L19,M19,N19,P19,Q19,R19,T19,U19,V19,W19,X19,Y19,AA19,AB19,AC19)</f>
        <v/>
      </c>
    </row>
    <row r="20">
      <c r="A20" s="42" t="n">
        <v>33</v>
      </c>
      <c r="B20" s="42" t="inlineStr">
        <is>
          <t>Ibura</t>
        </is>
      </c>
      <c r="C20" s="43" t="inlineStr">
        <is>
          <t>Avenida Dois Rios (Interseção da Avenida Dois Rios com a Rua Rio Pajeú até a Rua Ecoporanga / interseção da Avenida Dois Rios com a Rua Rio Prado)</t>
        </is>
      </c>
      <c r="D20" s="42" t="inlineStr">
        <is>
          <t>Linha</t>
        </is>
      </c>
      <c r="E20" s="42" t="inlineStr">
        <is>
          <t>G4</t>
        </is>
      </c>
      <c r="F20" s="44" t="n">
        <v>-8.113526</v>
      </c>
      <c r="G20" s="44" t="n">
        <v>-34.939007</v>
      </c>
      <c r="H20" s="42" t="inlineStr">
        <is>
          <t>Interseção</t>
        </is>
      </c>
      <c r="I20" s="45" t="n"/>
      <c r="J20" s="45" t="n"/>
      <c r="K20" s="45" t="n"/>
      <c r="L20" s="45" t="n"/>
      <c r="M20" s="45" t="n"/>
      <c r="N20" s="45" t="n"/>
      <c r="O20" s="46">
        <f>IF(COUNT(I20:N20)=0,"",IFERROR(SUMPRODUCT(I20:N20,(I$5:N$5+(I$5:N$5="")))/SUMPRODUCT((I20:N20&lt;&gt;"")*(I$5:N$5+(I$5:N$5=""))),""))</f>
        <v/>
      </c>
      <c r="P20" s="45" t="n"/>
      <c r="Q20" s="45" t="n"/>
      <c r="R20" s="45" t="n"/>
      <c r="S20" s="46">
        <f>IF(COUNT(P20:R20)=0,"",IFERROR(SUMPRODUCT(P20:R20,(P$5:R$5+(P$5:R$5="")))/SUMPRODUCT((P20:R20&lt;&gt;"")*(P$5:R$5+(P$5:R$5=""))),""))</f>
        <v/>
      </c>
      <c r="T20" s="45" t="n"/>
      <c r="U20" s="45" t="n"/>
      <c r="V20" s="45" t="n"/>
      <c r="W20" s="45" t="n"/>
      <c r="X20" s="45" t="n"/>
      <c r="Y20" s="45" t="n"/>
      <c r="Z20" s="46">
        <f>IF(COUNT(T20:Y20)=0,"",IFERROR(SUMPRODUCT(T20:Y20,(T$5:Y$5+(T$5:Y$5="")))/SUMPRODUCT((T20:Y20&lt;&gt;"")*(T$5:Y$5+(T$5:Y$5=""))),""))</f>
        <v/>
      </c>
      <c r="AA20" s="45" t="n"/>
      <c r="AB20" s="45" t="n"/>
      <c r="AC20" s="45" t="n"/>
      <c r="AD20" s="46">
        <f>IF(COUNT(AA20:AC20)=0,"",IFERROR(SUMPRODUCT(AA20:AC20,(AA$5:AC$5+(AA$5:AC$5="")))/SUMPRODUCT((AA20:AC20&lt;&gt;"")*(AA$5:AC$5+(AA$5:AC$5=""))),""))</f>
        <v/>
      </c>
      <c r="AE20" s="46">
        <f>IFERROR(IF((ISNUMBER(S20)*(S$5+(S$5=""))+ISNUMBER(Z20)*(Z$5+(Z$5=""))+ISNUMBER(AD20)*(AD$5+(AD$5="")))=0,"",(N(S20)*(S$5+(S$5=""))+N(Z20)*(Z$5+(Z$5=""))+N(AD20)*(AD$5+(AD$5="")))/(ISNUMBER(S20)*(S$5+(S$5=""))+ISNUMBER(Z20)*(Z$5+(Z$5=""))+ISNUMBER(AD20)*(AD$5+(AD$5="")))),"")</f>
        <v/>
      </c>
      <c r="AF20" s="47">
        <f>IF(AND(ISNUMBER(O20),ISNUMBER(AE20)),O20*AE20,"")</f>
        <v/>
      </c>
      <c r="AG20" s="48">
        <f>IF(ISNUMBER(AF20),(AF20-1)/24,"")</f>
        <v/>
      </c>
      <c r="AH20" s="49">
        <f>IF(ISNUMBER(AF20),COUNTIF(AF$7:AF$27,"&gt;"&amp;AF20)+1,"")</f>
        <v/>
      </c>
      <c r="AI20" s="50">
        <f>COUNT(I20,J20,K20,L20,M20,N20,P20,Q20,R20,T20,U20,V20,W20,X20,Y20,AA20,AB20,AC20)</f>
        <v/>
      </c>
    </row>
    <row r="21">
      <c r="A21" s="42" t="n">
        <v>34</v>
      </c>
      <c r="B21" s="42" t="inlineStr">
        <is>
          <t>Ibura</t>
        </is>
      </c>
      <c r="C21" s="43" t="inlineStr">
        <is>
          <t>Avenida Dom Helder Câmara (Interseção da Avenida Dom Helder Câmara com a Rua Achiles Amorim)</t>
        </is>
      </c>
      <c r="D21" s="42" t="inlineStr">
        <is>
          <t>Ponto</t>
        </is>
      </c>
      <c r="E21" s="42" t="inlineStr">
        <is>
          <t>G5</t>
        </is>
      </c>
      <c r="F21" s="44" t="n">
        <v>-8.107493</v>
      </c>
      <c r="G21" s="44" t="n">
        <v>-34.929853</v>
      </c>
      <c r="H21" s="42" t="inlineStr">
        <is>
          <t>Interseção</t>
        </is>
      </c>
      <c r="I21" s="45" t="n"/>
      <c r="J21" s="45" t="n"/>
      <c r="K21" s="45" t="n"/>
      <c r="L21" s="45" t="n"/>
      <c r="M21" s="45" t="n"/>
      <c r="N21" s="45" t="n"/>
      <c r="O21" s="46">
        <f>IF(COUNT(I21:N21)=0,"",IFERROR(SUMPRODUCT(I21:N21,(I$5:N$5+(I$5:N$5="")))/SUMPRODUCT((I21:N21&lt;&gt;"")*(I$5:N$5+(I$5:N$5=""))),""))</f>
        <v/>
      </c>
      <c r="P21" s="45" t="n"/>
      <c r="Q21" s="45" t="n"/>
      <c r="R21" s="45" t="n"/>
      <c r="S21" s="46">
        <f>IF(COUNT(P21:R21)=0,"",IFERROR(SUMPRODUCT(P21:R21,(P$5:R$5+(P$5:R$5="")))/SUMPRODUCT((P21:R21&lt;&gt;"")*(P$5:R$5+(P$5:R$5=""))),""))</f>
        <v/>
      </c>
      <c r="T21" s="45" t="n"/>
      <c r="U21" s="45" t="n"/>
      <c r="V21" s="45" t="n"/>
      <c r="W21" s="45" t="n"/>
      <c r="X21" s="45" t="n"/>
      <c r="Y21" s="45" t="n"/>
      <c r="Z21" s="46">
        <f>IF(COUNT(T21:Y21)=0,"",IFERROR(SUMPRODUCT(T21:Y21,(T$5:Y$5+(T$5:Y$5="")))/SUMPRODUCT((T21:Y21&lt;&gt;"")*(T$5:Y$5+(T$5:Y$5=""))),""))</f>
        <v/>
      </c>
      <c r="AA21" s="45" t="n"/>
      <c r="AB21" s="45" t="n"/>
      <c r="AC21" s="45" t="n"/>
      <c r="AD21" s="46">
        <f>IF(COUNT(AA21:AC21)=0,"",IFERROR(SUMPRODUCT(AA21:AC21,(AA$5:AC$5+(AA$5:AC$5="")))/SUMPRODUCT((AA21:AC21&lt;&gt;"")*(AA$5:AC$5+(AA$5:AC$5=""))),""))</f>
        <v/>
      </c>
      <c r="AE21" s="46">
        <f>IFERROR(IF((ISNUMBER(S21)*(S$5+(S$5=""))+ISNUMBER(Z21)*(Z$5+(Z$5=""))+ISNUMBER(AD21)*(AD$5+(AD$5="")))=0,"",(N(S21)*(S$5+(S$5=""))+N(Z21)*(Z$5+(Z$5=""))+N(AD21)*(AD$5+(AD$5="")))/(ISNUMBER(S21)*(S$5+(S$5=""))+ISNUMBER(Z21)*(Z$5+(Z$5=""))+ISNUMBER(AD21)*(AD$5+(AD$5="")))),"")</f>
        <v/>
      </c>
      <c r="AF21" s="47">
        <f>IF(AND(ISNUMBER(O21),ISNUMBER(AE21)),O21*AE21,"")</f>
        <v/>
      </c>
      <c r="AG21" s="48">
        <f>IF(ISNUMBER(AF21),(AF21-1)/24,"")</f>
        <v/>
      </c>
      <c r="AH21" s="49">
        <f>IF(ISNUMBER(AF21),COUNTIF(AF$7:AF$27,"&gt;"&amp;AF21)+1,"")</f>
        <v/>
      </c>
      <c r="AI21" s="50">
        <f>COUNT(I21,J21,K21,L21,M21,N21,P21,Q21,R21,T21,U21,V21,W21,X21,Y21,AA21,AB21,AC21)</f>
        <v/>
      </c>
    </row>
    <row r="22">
      <c r="A22" s="42" t="n">
        <v>35</v>
      </c>
      <c r="B22" s="42" t="inlineStr">
        <is>
          <t>Ibura</t>
        </is>
      </c>
      <c r="C22" s="43" t="inlineStr">
        <is>
          <t>Avenida Dois Rios (Próximo ao SESI)</t>
        </is>
      </c>
      <c r="D22" s="42" t="inlineStr">
        <is>
          <t>Ponto</t>
        </is>
      </c>
      <c r="E22" s="42" t="inlineStr">
        <is>
          <t>G4</t>
        </is>
      </c>
      <c r="F22" s="44" t="n">
        <v>-8.110391</v>
      </c>
      <c r="G22" s="44" t="n">
        <v>-34.93687</v>
      </c>
      <c r="H22" s="42" t="inlineStr">
        <is>
          <t>Aproximado</t>
        </is>
      </c>
      <c r="I22" s="45" t="n"/>
      <c r="J22" s="45" t="n"/>
      <c r="K22" s="45" t="n"/>
      <c r="L22" s="45" t="n"/>
      <c r="M22" s="45" t="n"/>
      <c r="N22" s="45" t="n"/>
      <c r="O22" s="46">
        <f>IF(COUNT(I22:N22)=0,"",IFERROR(SUMPRODUCT(I22:N22,(I$5:N$5+(I$5:N$5="")))/SUMPRODUCT((I22:N22&lt;&gt;"")*(I$5:N$5+(I$5:N$5=""))),""))</f>
        <v/>
      </c>
      <c r="P22" s="45" t="n"/>
      <c r="Q22" s="45" t="n"/>
      <c r="R22" s="45" t="n"/>
      <c r="S22" s="46">
        <f>IF(COUNT(P22:R22)=0,"",IFERROR(SUMPRODUCT(P22:R22,(P$5:R$5+(P$5:R$5="")))/SUMPRODUCT((P22:R22&lt;&gt;"")*(P$5:R$5+(P$5:R$5=""))),""))</f>
        <v/>
      </c>
      <c r="T22" s="45" t="n"/>
      <c r="U22" s="45" t="n"/>
      <c r="V22" s="45" t="n"/>
      <c r="W22" s="45" t="n"/>
      <c r="X22" s="45" t="n"/>
      <c r="Y22" s="45" t="n"/>
      <c r="Z22" s="46">
        <f>IF(COUNT(T22:Y22)=0,"",IFERROR(SUMPRODUCT(T22:Y22,(T$5:Y$5+(T$5:Y$5="")))/SUMPRODUCT((T22:Y22&lt;&gt;"")*(T$5:Y$5+(T$5:Y$5=""))),""))</f>
        <v/>
      </c>
      <c r="AA22" s="45" t="n"/>
      <c r="AB22" s="45" t="n"/>
      <c r="AC22" s="45" t="n"/>
      <c r="AD22" s="46">
        <f>IF(COUNT(AA22:AC22)=0,"",IFERROR(SUMPRODUCT(AA22:AC22,(AA$5:AC$5+(AA$5:AC$5="")))/SUMPRODUCT((AA22:AC22&lt;&gt;"")*(AA$5:AC$5+(AA$5:AC$5=""))),""))</f>
        <v/>
      </c>
      <c r="AE22" s="46">
        <f>IFERROR(IF((ISNUMBER(S22)*(S$5+(S$5=""))+ISNUMBER(Z22)*(Z$5+(Z$5=""))+ISNUMBER(AD22)*(AD$5+(AD$5="")))=0,"",(N(S22)*(S$5+(S$5=""))+N(Z22)*(Z$5+(Z$5=""))+N(AD22)*(AD$5+(AD$5="")))/(ISNUMBER(S22)*(S$5+(S$5=""))+ISNUMBER(Z22)*(Z$5+(Z$5=""))+ISNUMBER(AD22)*(AD$5+(AD$5="")))),"")</f>
        <v/>
      </c>
      <c r="AF22" s="47">
        <f>IF(AND(ISNUMBER(O22),ISNUMBER(AE22)),O22*AE22,"")</f>
        <v/>
      </c>
      <c r="AG22" s="48">
        <f>IF(ISNUMBER(AF22),(AF22-1)/24,"")</f>
        <v/>
      </c>
      <c r="AH22" s="49">
        <f>IF(ISNUMBER(AF22),COUNTIF(AF$7:AF$27,"&gt;"&amp;AF22)+1,"")</f>
        <v/>
      </c>
      <c r="AI22" s="50">
        <f>COUNT(I22,J22,K22,L22,M22,N22,P22,Q22,R22,T22,U22,V22,W22,X22,Y22,AA22,AB22,AC22)</f>
        <v/>
      </c>
    </row>
    <row r="23">
      <c r="A23" s="42" t="n">
        <v>36</v>
      </c>
      <c r="B23" s="42" t="inlineStr">
        <is>
          <t>Imbiribeira</t>
        </is>
      </c>
      <c r="C23" s="43" t="inlineStr">
        <is>
          <t>Avenida Mascarenhas de Moraes (Trecho da Ferreira Costa)</t>
        </is>
      </c>
      <c r="D23" s="42" t="inlineStr">
        <is>
          <t>Ponto</t>
        </is>
      </c>
      <c r="E23" s="42" t="inlineStr">
        <is>
          <t>G3</t>
        </is>
      </c>
      <c r="F23" s="44" t="n">
        <v>-8.111915</v>
      </c>
      <c r="G23" s="44" t="n">
        <v>-34.912386</v>
      </c>
      <c r="H23" s="42" t="inlineStr">
        <is>
          <t>Aproximado</t>
        </is>
      </c>
      <c r="I23" s="45" t="n"/>
      <c r="J23" s="45" t="n"/>
      <c r="K23" s="45" t="n"/>
      <c r="L23" s="45" t="n"/>
      <c r="M23" s="45" t="n"/>
      <c r="N23" s="45" t="n"/>
      <c r="O23" s="46">
        <f>IF(COUNT(I23:N23)=0,"",IFERROR(SUMPRODUCT(I23:N23,(I$5:N$5+(I$5:N$5="")))/SUMPRODUCT((I23:N23&lt;&gt;"")*(I$5:N$5+(I$5:N$5=""))),""))</f>
        <v/>
      </c>
      <c r="P23" s="45" t="n"/>
      <c r="Q23" s="45" t="n"/>
      <c r="R23" s="45" t="n"/>
      <c r="S23" s="46">
        <f>IF(COUNT(P23:R23)=0,"",IFERROR(SUMPRODUCT(P23:R23,(P$5:R$5+(P$5:R$5="")))/SUMPRODUCT((P23:R23&lt;&gt;"")*(P$5:R$5+(P$5:R$5=""))),""))</f>
        <v/>
      </c>
      <c r="T23" s="45" t="n"/>
      <c r="U23" s="45" t="n"/>
      <c r="V23" s="45" t="n"/>
      <c r="W23" s="45" t="n"/>
      <c r="X23" s="45" t="n"/>
      <c r="Y23" s="45" t="n"/>
      <c r="Z23" s="46">
        <f>IF(COUNT(T23:Y23)=0,"",IFERROR(SUMPRODUCT(T23:Y23,(T$5:Y$5+(T$5:Y$5="")))/SUMPRODUCT((T23:Y23&lt;&gt;"")*(T$5:Y$5+(T$5:Y$5=""))),""))</f>
        <v/>
      </c>
      <c r="AA23" s="45" t="n"/>
      <c r="AB23" s="45" t="n"/>
      <c r="AC23" s="45" t="n"/>
      <c r="AD23" s="46">
        <f>IF(COUNT(AA23:AC23)=0,"",IFERROR(SUMPRODUCT(AA23:AC23,(AA$5:AC$5+(AA$5:AC$5="")))/SUMPRODUCT((AA23:AC23&lt;&gt;"")*(AA$5:AC$5+(AA$5:AC$5=""))),""))</f>
        <v/>
      </c>
      <c r="AE23" s="46">
        <f>IFERROR(IF((ISNUMBER(S23)*(S$5+(S$5=""))+ISNUMBER(Z23)*(Z$5+(Z$5=""))+ISNUMBER(AD23)*(AD$5+(AD$5="")))=0,"",(N(S23)*(S$5+(S$5=""))+N(Z23)*(Z$5+(Z$5=""))+N(AD23)*(AD$5+(AD$5="")))/(ISNUMBER(S23)*(S$5+(S$5=""))+ISNUMBER(Z23)*(Z$5+(Z$5=""))+ISNUMBER(AD23)*(AD$5+(AD$5="")))),"")</f>
        <v/>
      </c>
      <c r="AF23" s="47">
        <f>IF(AND(ISNUMBER(O23),ISNUMBER(AE23)),O23*AE23,"")</f>
        <v/>
      </c>
      <c r="AG23" s="48">
        <f>IF(ISNUMBER(AF23),(AF23-1)/24,"")</f>
        <v/>
      </c>
      <c r="AH23" s="49">
        <f>IF(ISNUMBER(AF23),COUNTIF(AF$7:AF$27,"&gt;"&amp;AF23)+1,"")</f>
        <v/>
      </c>
      <c r="AI23" s="50">
        <f>COUNT(I23,J23,K23,L23,M23,N23,P23,Q23,R23,T23,U23,V23,W23,X23,Y23,AA23,AB23,AC23)</f>
        <v/>
      </c>
    </row>
    <row r="24">
      <c r="A24" s="42" t="n">
        <v>37</v>
      </c>
      <c r="B24" s="42" t="inlineStr">
        <is>
          <t>Ipsep</t>
        </is>
      </c>
      <c r="C24" s="43" t="inlineStr">
        <is>
          <t>Avenida Recife (Da Avenida Dom Helder Câmara até o Rio Tejipió)</t>
        </is>
      </c>
      <c r="D24" s="42" t="inlineStr">
        <is>
          <t>Linha</t>
        </is>
      </c>
      <c r="E24" s="42" t="inlineStr">
        <is>
          <t>G5</t>
        </is>
      </c>
      <c r="F24" s="44" t="n">
        <v>-8.105179</v>
      </c>
      <c r="G24" s="44" t="n">
        <v>-34.927549</v>
      </c>
      <c r="H24" s="42" t="inlineStr">
        <is>
          <t>Aproximado</t>
        </is>
      </c>
      <c r="I24" s="45" t="n"/>
      <c r="J24" s="45" t="n"/>
      <c r="K24" s="45" t="n"/>
      <c r="L24" s="45" t="n"/>
      <c r="M24" s="45" t="n"/>
      <c r="N24" s="45" t="n"/>
      <c r="O24" s="46">
        <f>IF(COUNT(I24:N24)=0,"",IFERROR(SUMPRODUCT(I24:N24,(I$5:N$5+(I$5:N$5="")))/SUMPRODUCT((I24:N24&lt;&gt;"")*(I$5:N$5+(I$5:N$5=""))),""))</f>
        <v/>
      </c>
      <c r="P24" s="45" t="n"/>
      <c r="Q24" s="45" t="n"/>
      <c r="R24" s="45" t="n"/>
      <c r="S24" s="46">
        <f>IF(COUNT(P24:R24)=0,"",IFERROR(SUMPRODUCT(P24:R24,(P$5:R$5+(P$5:R$5="")))/SUMPRODUCT((P24:R24&lt;&gt;"")*(P$5:R$5+(P$5:R$5=""))),""))</f>
        <v/>
      </c>
      <c r="T24" s="45" t="n"/>
      <c r="U24" s="45" t="n"/>
      <c r="V24" s="45" t="n"/>
      <c r="W24" s="45" t="n"/>
      <c r="X24" s="45" t="n"/>
      <c r="Y24" s="45" t="n"/>
      <c r="Z24" s="46">
        <f>IF(COUNT(T24:Y24)=0,"",IFERROR(SUMPRODUCT(T24:Y24,(T$5:Y$5+(T$5:Y$5="")))/SUMPRODUCT((T24:Y24&lt;&gt;"")*(T$5:Y$5+(T$5:Y$5=""))),""))</f>
        <v/>
      </c>
      <c r="AA24" s="45" t="n"/>
      <c r="AB24" s="45" t="n"/>
      <c r="AC24" s="45" t="n"/>
      <c r="AD24" s="46">
        <f>IF(COUNT(AA24:AC24)=0,"",IFERROR(SUMPRODUCT(AA24:AC24,(AA$5:AC$5+(AA$5:AC$5="")))/SUMPRODUCT((AA24:AC24&lt;&gt;"")*(AA$5:AC$5+(AA$5:AC$5=""))),""))</f>
        <v/>
      </c>
      <c r="AE24" s="46">
        <f>IFERROR(IF((ISNUMBER(S24)*(S$5+(S$5=""))+ISNUMBER(Z24)*(Z$5+(Z$5=""))+ISNUMBER(AD24)*(AD$5+(AD$5="")))=0,"",(N(S24)*(S$5+(S$5=""))+N(Z24)*(Z$5+(Z$5=""))+N(AD24)*(AD$5+(AD$5="")))/(ISNUMBER(S24)*(S$5+(S$5=""))+ISNUMBER(Z24)*(Z$5+(Z$5=""))+ISNUMBER(AD24)*(AD$5+(AD$5="")))),"")</f>
        <v/>
      </c>
      <c r="AF24" s="47">
        <f>IF(AND(ISNUMBER(O24),ISNUMBER(AE24)),O24*AE24,"")</f>
        <v/>
      </c>
      <c r="AG24" s="48">
        <f>IF(ISNUMBER(AF24),(AF24-1)/24,"")</f>
        <v/>
      </c>
      <c r="AH24" s="49">
        <f>IF(ISNUMBER(AF24),COUNTIF(AF$7:AF$27,"&gt;"&amp;AF24)+1,"")</f>
        <v/>
      </c>
      <c r="AI24" s="50">
        <f>COUNT(I24,J24,K24,L24,M24,N24,P24,Q24,R24,T24,U24,V24,W24,X24,Y24,AA24,AB24,AC24)</f>
        <v/>
      </c>
    </row>
    <row r="25">
      <c r="A25" s="42" t="n">
        <v>41</v>
      </c>
      <c r="B25" s="42" t="inlineStr">
        <is>
          <t>Boa Viagem</t>
        </is>
      </c>
      <c r="C25" s="43" t="inlineStr">
        <is>
          <t>Rua Thomé Gibson (Da Avenida Encanta Moça até a Via Mangue)</t>
        </is>
      </c>
      <c r="D25" s="42" t="inlineStr">
        <is>
          <t>Linha</t>
        </is>
      </c>
      <c r="E25" s="42" t="inlineStr">
        <is>
          <t>G2</t>
        </is>
      </c>
      <c r="F25" s="44" t="n">
        <v>-8.098065999999999</v>
      </c>
      <c r="G25" s="44" t="n">
        <v>-34.888129</v>
      </c>
      <c r="H25" s="42" t="inlineStr">
        <is>
          <t>Aproximado</t>
        </is>
      </c>
      <c r="I25" s="45" t="n"/>
      <c r="J25" s="45" t="n"/>
      <c r="K25" s="45" t="n"/>
      <c r="L25" s="45" t="n"/>
      <c r="M25" s="45" t="n"/>
      <c r="N25" s="45" t="n"/>
      <c r="O25" s="46">
        <f>IF(COUNT(I25:N25)=0,"",IFERROR(SUMPRODUCT(I25:N25,(I$5:N$5+(I$5:N$5="")))/SUMPRODUCT((I25:N25&lt;&gt;"")*(I$5:N$5+(I$5:N$5=""))),""))</f>
        <v/>
      </c>
      <c r="P25" s="45" t="n"/>
      <c r="Q25" s="45" t="n"/>
      <c r="R25" s="45" t="n"/>
      <c r="S25" s="46">
        <f>IF(COUNT(P25:R25)=0,"",IFERROR(SUMPRODUCT(P25:R25,(P$5:R$5+(P$5:R$5="")))/SUMPRODUCT((P25:R25&lt;&gt;"")*(P$5:R$5+(P$5:R$5=""))),""))</f>
        <v/>
      </c>
      <c r="T25" s="45" t="n"/>
      <c r="U25" s="45" t="n"/>
      <c r="V25" s="45" t="n"/>
      <c r="W25" s="45" t="n"/>
      <c r="X25" s="45" t="n"/>
      <c r="Y25" s="45" t="n"/>
      <c r="Z25" s="46">
        <f>IF(COUNT(T25:Y25)=0,"",IFERROR(SUMPRODUCT(T25:Y25,(T$5:Y$5+(T$5:Y$5="")))/SUMPRODUCT((T25:Y25&lt;&gt;"")*(T$5:Y$5+(T$5:Y$5=""))),""))</f>
        <v/>
      </c>
      <c r="AA25" s="45" t="n"/>
      <c r="AB25" s="45" t="n"/>
      <c r="AC25" s="45" t="n"/>
      <c r="AD25" s="46">
        <f>IF(COUNT(AA25:AC25)=0,"",IFERROR(SUMPRODUCT(AA25:AC25,(AA$5:AC$5+(AA$5:AC$5="")))/SUMPRODUCT((AA25:AC25&lt;&gt;"")*(AA$5:AC$5+(AA$5:AC$5=""))),""))</f>
        <v/>
      </c>
      <c r="AE25" s="46">
        <f>IFERROR(IF((ISNUMBER(S25)*(S$5+(S$5=""))+ISNUMBER(Z25)*(Z$5+(Z$5=""))+ISNUMBER(AD25)*(AD$5+(AD$5="")))=0,"",(N(S25)*(S$5+(S$5=""))+N(Z25)*(Z$5+(Z$5=""))+N(AD25)*(AD$5+(AD$5="")))/(ISNUMBER(S25)*(S$5+(S$5=""))+ISNUMBER(Z25)*(Z$5+(Z$5=""))+ISNUMBER(AD25)*(AD$5+(AD$5="")))),"")</f>
        <v/>
      </c>
      <c r="AF25" s="47">
        <f>IF(AND(ISNUMBER(O25),ISNUMBER(AE25)),O25*AE25,"")</f>
        <v/>
      </c>
      <c r="AG25" s="48">
        <f>IF(ISNUMBER(AF25),(AF25-1)/24,"")</f>
        <v/>
      </c>
      <c r="AH25" s="49">
        <f>IF(ISNUMBER(AF25),COUNTIF(AF$7:AF$27,"&gt;"&amp;AF25)+1,"")</f>
        <v/>
      </c>
      <c r="AI25" s="50">
        <f>COUNT(I25,J25,K25,L25,M25,N25,P25,Q25,R25,T25,U25,V25,W25,X25,Y25,AA25,AB25,AC25)</f>
        <v/>
      </c>
    </row>
    <row r="26">
      <c r="A26" s="42" t="n">
        <v>51</v>
      </c>
      <c r="B26" s="42" t="inlineStr">
        <is>
          <t>Pina</t>
        </is>
      </c>
      <c r="C26" s="43" t="inlineStr">
        <is>
          <t>Avenida Antônio de Góes (Da saída da Via Mangue até a Bacia do Pina (Rio Capibaribe) e cruzamento com a Avenida Conselheiro Aguiar)</t>
        </is>
      </c>
      <c r="D26" s="42" t="inlineStr">
        <is>
          <t>Linha</t>
        </is>
      </c>
      <c r="E26" s="42" t="inlineStr"/>
      <c r="F26" s="44" t="n">
        <v>-8.089423</v>
      </c>
      <c r="G26" s="44" t="n">
        <v>-34.882717</v>
      </c>
      <c r="H26" s="42" t="inlineStr">
        <is>
          <t>Interseção</t>
        </is>
      </c>
      <c r="I26" s="45" t="n"/>
      <c r="J26" s="45" t="n"/>
      <c r="K26" s="45" t="n"/>
      <c r="L26" s="45" t="n"/>
      <c r="M26" s="45" t="n"/>
      <c r="N26" s="45" t="n"/>
      <c r="O26" s="46">
        <f>IF(COUNT(I26:N26)=0,"",IFERROR(SUMPRODUCT(I26:N26,(I$5:N$5+(I$5:N$5="")))/SUMPRODUCT((I26:N26&lt;&gt;"")*(I$5:N$5+(I$5:N$5=""))),""))</f>
        <v/>
      </c>
      <c r="P26" s="45" t="n"/>
      <c r="Q26" s="45" t="n"/>
      <c r="R26" s="45" t="n"/>
      <c r="S26" s="46">
        <f>IF(COUNT(P26:R26)=0,"",IFERROR(SUMPRODUCT(P26:R26,(P$5:R$5+(P$5:R$5="")))/SUMPRODUCT((P26:R26&lt;&gt;"")*(P$5:R$5+(P$5:R$5=""))),""))</f>
        <v/>
      </c>
      <c r="T26" s="45" t="n"/>
      <c r="U26" s="45" t="n"/>
      <c r="V26" s="45" t="n"/>
      <c r="W26" s="45" t="n"/>
      <c r="X26" s="45" t="n"/>
      <c r="Y26" s="45" t="n"/>
      <c r="Z26" s="46">
        <f>IF(COUNT(T26:Y26)=0,"",IFERROR(SUMPRODUCT(T26:Y26,(T$5:Y$5+(T$5:Y$5="")))/SUMPRODUCT((T26:Y26&lt;&gt;"")*(T$5:Y$5+(T$5:Y$5=""))),""))</f>
        <v/>
      </c>
      <c r="AA26" s="45" t="n"/>
      <c r="AB26" s="45" t="n"/>
      <c r="AC26" s="45" t="n"/>
      <c r="AD26" s="46">
        <f>IF(COUNT(AA26:AC26)=0,"",IFERROR(SUMPRODUCT(AA26:AC26,(AA$5:AC$5+(AA$5:AC$5="")))/SUMPRODUCT((AA26:AC26&lt;&gt;"")*(AA$5:AC$5+(AA$5:AC$5=""))),""))</f>
        <v/>
      </c>
      <c r="AE26" s="46">
        <f>IFERROR(IF((ISNUMBER(S26)*(S$5+(S$5=""))+ISNUMBER(Z26)*(Z$5+(Z$5=""))+ISNUMBER(AD26)*(AD$5+(AD$5="")))=0,"",(N(S26)*(S$5+(S$5=""))+N(Z26)*(Z$5+(Z$5=""))+N(AD26)*(AD$5+(AD$5="")))/(ISNUMBER(S26)*(S$5+(S$5=""))+ISNUMBER(Z26)*(Z$5+(Z$5=""))+ISNUMBER(AD26)*(AD$5+(AD$5="")))),"")</f>
        <v/>
      </c>
      <c r="AF26" s="47">
        <f>IF(AND(ISNUMBER(O26),ISNUMBER(AE26)),O26*AE26,"")</f>
        <v/>
      </c>
      <c r="AG26" s="48">
        <f>IF(ISNUMBER(AF26),(AF26-1)/24,"")</f>
        <v/>
      </c>
      <c r="AH26" s="49">
        <f>IF(ISNUMBER(AF26),COUNTIF(AF$7:AF$27,"&gt;"&amp;AF26)+1,"")</f>
        <v/>
      </c>
      <c r="AI26" s="50">
        <f>COUNT(I26,J26,K26,L26,M26,N26,P26,Q26,R26,T26,U26,V26,W26,X26,Y26,AA26,AB26,AC26)</f>
        <v/>
      </c>
    </row>
    <row r="27">
      <c r="A27" s="42" t="n">
        <v>54</v>
      </c>
      <c r="B27" s="42" t="inlineStr">
        <is>
          <t>Ibura</t>
        </is>
      </c>
      <c r="C27" s="43" t="inlineStr">
        <is>
          <t>Rua Rio Prado (Interseção da Rua Rio Prado com a Rua Rio Brígida)</t>
        </is>
      </c>
      <c r="D27" s="42" t="inlineStr">
        <is>
          <t>Ponto</t>
        </is>
      </c>
      <c r="E27" s="42" t="inlineStr">
        <is>
          <t>G4</t>
        </is>
      </c>
      <c r="F27" s="44" t="n">
        <v>-8.113868999999999</v>
      </c>
      <c r="G27" s="44" t="n">
        <v>-34.940702</v>
      </c>
      <c r="H27" s="42" t="inlineStr">
        <is>
          <t>Interseção</t>
        </is>
      </c>
      <c r="I27" s="45" t="n"/>
      <c r="J27" s="45" t="n"/>
      <c r="K27" s="45" t="n"/>
      <c r="L27" s="45" t="n"/>
      <c r="M27" s="45" t="n"/>
      <c r="N27" s="45" t="n"/>
      <c r="O27" s="46">
        <f>IF(COUNT(I27:N27)=0,"",IFERROR(SUMPRODUCT(I27:N27,(I$5:N$5+(I$5:N$5="")))/SUMPRODUCT((I27:N27&lt;&gt;"")*(I$5:N$5+(I$5:N$5=""))),""))</f>
        <v/>
      </c>
      <c r="P27" s="45" t="n"/>
      <c r="Q27" s="45" t="n"/>
      <c r="R27" s="45" t="n"/>
      <c r="S27" s="46">
        <f>IF(COUNT(P27:R27)=0,"",IFERROR(SUMPRODUCT(P27:R27,(P$5:R$5+(P$5:R$5="")))/SUMPRODUCT((P27:R27&lt;&gt;"")*(P$5:R$5+(P$5:R$5=""))),""))</f>
        <v/>
      </c>
      <c r="T27" s="45" t="n"/>
      <c r="U27" s="45" t="n"/>
      <c r="V27" s="45" t="n"/>
      <c r="W27" s="45" t="n"/>
      <c r="X27" s="45" t="n"/>
      <c r="Y27" s="45" t="n"/>
      <c r="Z27" s="46">
        <f>IF(COUNT(T27:Y27)=0,"",IFERROR(SUMPRODUCT(T27:Y27,(T$5:Y$5+(T$5:Y$5="")))/SUMPRODUCT((T27:Y27&lt;&gt;"")*(T$5:Y$5+(T$5:Y$5=""))),""))</f>
        <v/>
      </c>
      <c r="AA27" s="45" t="n"/>
      <c r="AB27" s="45" t="n"/>
      <c r="AC27" s="45" t="n"/>
      <c r="AD27" s="46">
        <f>IF(COUNT(AA27:AC27)=0,"",IFERROR(SUMPRODUCT(AA27:AC27,(AA$5:AC$5+(AA$5:AC$5="")))/SUMPRODUCT((AA27:AC27&lt;&gt;"")*(AA$5:AC$5+(AA$5:AC$5=""))),""))</f>
        <v/>
      </c>
      <c r="AE27" s="46">
        <f>IFERROR(IF((ISNUMBER(S27)*(S$5+(S$5=""))+ISNUMBER(Z27)*(Z$5+(Z$5=""))+ISNUMBER(AD27)*(AD$5+(AD$5="")))=0,"",(N(S27)*(S$5+(S$5=""))+N(Z27)*(Z$5+(Z$5=""))+N(AD27)*(AD$5+(AD$5="")))/(ISNUMBER(S27)*(S$5+(S$5=""))+ISNUMBER(Z27)*(Z$5+(Z$5=""))+ISNUMBER(AD27)*(AD$5+(AD$5="")))),"")</f>
        <v/>
      </c>
      <c r="AF27" s="47">
        <f>IF(AND(ISNUMBER(O27),ISNUMBER(AE27)),O27*AE27,"")</f>
        <v/>
      </c>
      <c r="AG27" s="48">
        <f>IF(ISNUMBER(AF27),(AF27-1)/24,"")</f>
        <v/>
      </c>
      <c r="AH27" s="49">
        <f>IF(ISNUMBER(AF27),COUNTIF(AF$7:AF$27,"&gt;"&amp;AF27)+1,"")</f>
        <v/>
      </c>
      <c r="AI27" s="50">
        <f>COUNT(I27,J27,K27,L27,M27,N27,P27,Q27,R27,T27,U27,V27,W27,X27,Y27,AA27,AB27,AC27)</f>
        <v/>
      </c>
    </row>
    <row r="29">
      <c r="A29" s="21" t="inlineStr">
        <is>
          <t>Como o cálculo funciona:</t>
        </is>
      </c>
    </row>
    <row r="30">
      <c r="A30" s="51" t="inlineStr">
        <is>
          <t>• Nota do critério = média ponderada das notas dos subcritérios preenchidos (pesos da linha 5; vazio = 1).</t>
        </is>
      </c>
    </row>
    <row r="31">
      <c r="A31" s="51" t="inlineStr">
        <is>
          <t>• Consequência = média ponderada das notas de Exposição, Vulnerabilidade e Impacto (pesos da linha 5 nas colunas cinza 'Nota').</t>
        </is>
      </c>
    </row>
    <row r="32">
      <c r="A32" s="51" t="inlineStr">
        <is>
          <t>• Risco = nota da Probabilidade × Consequência (1 a 25).</t>
        </is>
      </c>
    </row>
    <row r="33">
      <c r="A33" s="51" t="inlineStr">
        <is>
          <t>• Índice de risco (0–1) = (Risco − 1) ÷ 24. 0 = risco mínimo (P = 1 e C = 1); 1 = risco máximo (P = 5 e C = 5). Corte da matriz (risco 9) = índice 0,333. O ranking é o mesmo do Risco.</t>
        </is>
      </c>
    </row>
    <row r="34">
      <c r="A34" s="51" t="inlineStr">
        <is>
          <t>• Posição = ranking pelo Risco (1 = maior risco). Empates recebem a mesma posição.</t>
        </is>
      </c>
    </row>
  </sheetData>
  <mergeCells count="5">
    <mergeCell ref="AE4:AI4"/>
    <mergeCell ref="AA4:AD4"/>
    <mergeCell ref="T4:Z4"/>
    <mergeCell ref="I4:O4"/>
    <mergeCell ref="P4:S4"/>
  </mergeCells>
  <conditionalFormatting sqref="AG7:AG27">
    <cfRule type="colorScale" priority="1">
      <colorScale>
        <cfvo type="num" val="0"/>
        <cfvo type="num" val="0.3333333333333333"/>
        <cfvo type="num" val="1"/>
        <color rgb="00FFFFFF"/>
        <color rgb="00FFEB84"/>
        <color rgb="00F8696B"/>
      </colorScale>
    </cfRule>
  </conditionalFormatting>
  <dataValidations count="2">
    <dataValidation sqref="I7:I27 J7:J27 K7:K27 L7:L27 M7:M27 N7:N27 P7:P27 Q7:Q27 R7:R27 T7:T27 U7:U27 V7:V27 W7:W27 X7:X27 Y7:Y27 AA7:AA27 AB7:AB27 AC7:AC27" showDropDown="0" showInputMessage="0" showErrorMessage="1" allowBlank="1" errorTitle="Nota inválida" error="Use um número inteiro de 1 a 5 (5 = mais crítico)." type="whole" operator="between">
      <formula1>1</formula1>
      <formula2>5</formula2>
    </dataValidation>
    <dataValidation sqref="I5 J5 K5 L5 M5 N5 P5 Q5 R5 S5 T5 U5 V5 W5 X5 Y5 Z5 AA5 AB5 AC5 AD5" showDropDown="0" showInputMessage="0" showErrorMessage="1" allowBlank="1" error="Peso deve ser um número maior ou igual a zero." type="decimal" operator="greaterThanOrEqual">
      <formula1>0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45" customWidth="1" min="4" max="4"/>
  </cols>
  <sheetData>
    <row r="1">
      <c r="A1" s="1" t="inlineStr">
        <is>
          <t>Glossário — termos usados nesta planilha e no modelo de risco</t>
        </is>
      </c>
    </row>
    <row r="2">
      <c r="A2" s="52" t="inlineStr">
        <is>
          <t>Para quem não participou das discussões do modelo. Os papéis dos órgãos são uma leitura preliminar, ainda não confirmada com cada órgão.</t>
        </is>
      </c>
    </row>
    <row r="4">
      <c r="A4" s="53" t="inlineStr">
        <is>
          <t>Grupo</t>
        </is>
      </c>
      <c r="B4" s="53" t="inlineStr">
        <is>
          <t>Termo</t>
        </is>
      </c>
      <c r="C4" s="53" t="inlineStr">
        <is>
          <t>O que significa</t>
        </is>
      </c>
      <c r="D4" s="53" t="inlineStr">
        <is>
          <t>Exemplo no projeto</t>
        </is>
      </c>
    </row>
    <row r="5">
      <c r="A5" s="54" t="inlineStr">
        <is>
          <t>Modelo de risco</t>
        </is>
      </c>
      <c r="B5" s="55" t="inlineStr">
        <is>
          <t>Risco</t>
        </is>
      </c>
      <c r="C5" s="43" t="inlineStr">
        <is>
          <t>Medida de quão prioritário é um ponto para a prevenção. Calculado como Probabilidade × Consequência, numa escala de 1 a 25.</t>
        </is>
      </c>
      <c r="D5" s="43" t="inlineStr">
        <is>
          <t>Um ponto com Probabilidade 4 e Consequência 3 tem risco 12.</t>
        </is>
      </c>
    </row>
    <row r="6">
      <c r="A6" s="54" t="inlineStr">
        <is>
          <t>Modelo de risco</t>
        </is>
      </c>
      <c r="B6" s="55" t="inlineStr">
        <is>
          <t>Critério</t>
        </is>
      </c>
      <c r="C6" s="43" t="inlineStr">
        <is>
          <t>Um dos 4 grandes componentes do risco: Probabilidade, Exposição, Vulnerabilidade e Impacto.</t>
        </is>
      </c>
      <c r="D6" s="43" t="inlineStr">
        <is>
          <t>Vulnerabilidade é um critério.</t>
        </is>
      </c>
    </row>
    <row r="7">
      <c r="A7" s="54" t="inlineStr">
        <is>
          <t>Modelo de risco</t>
        </is>
      </c>
      <c r="B7" s="55" t="inlineStr">
        <is>
          <t>Subcritério</t>
        </is>
      </c>
      <c r="C7" s="43" t="inlineStr">
        <is>
          <t>Um item medível dentro de um critério. Cada subcritério recebe uma nota de 1 a 5.</t>
        </is>
      </c>
      <c r="D7" s="43" t="inlineStr">
        <is>
          <t>População (E1) é um subcritério da Exposição.</t>
        </is>
      </c>
    </row>
    <row r="8">
      <c r="A8" s="54" t="inlineStr">
        <is>
          <t>Modelo de risco</t>
        </is>
      </c>
      <c r="B8" s="55" t="inlineStr">
        <is>
          <t>Probabilidade</t>
        </is>
      </c>
      <c r="C8" s="43" t="inlineStr">
        <is>
          <t>Quanto e com que facilidade o ponto alaga: frequência, severidade, maré, proximidade de rio, impermeabilização.</t>
        </is>
      </c>
      <c r="D8" s="43" t="inlineStr">
        <is>
          <t>Um ponto que alaga 7 vezes por ano tem Frequência (P1) = 5.</t>
        </is>
      </c>
    </row>
    <row r="9">
      <c r="A9" s="54" t="inlineStr">
        <is>
          <t>Modelo de risco</t>
        </is>
      </c>
      <c r="B9" s="55" t="inlineStr">
        <is>
          <t>Exposição</t>
        </is>
      </c>
      <c r="C9" s="43" t="inlineStr">
        <is>
          <t>Quem e o que está no caminho da água dentro do círculo de 300 m: moradores, equipamentos públicos, comércio. O que está no círculo conta só aqui, não no Impacto.</t>
        </is>
      </c>
      <c r="D9" s="43" t="inlineStr">
        <is>
          <t>Um ponto com muitas escolas por perto tem Equipamentos públicos (E2) alto.</t>
        </is>
      </c>
    </row>
    <row r="10">
      <c r="A10" s="54" t="inlineStr">
        <is>
          <t>Modelo de risco</t>
        </is>
      </c>
      <c r="B10" s="55" t="inlineStr">
        <is>
          <t>Vulnerabilidade</t>
        </is>
      </c>
      <c r="C10" s="43" t="inlineStr">
        <is>
          <t>Quanto quem está ali tem dificuldade de lidar com o alagamento: idosos e crianças, ZEIS, favelas e comunidades, moradia térrea.</t>
        </is>
      </c>
      <c r="D10" s="43" t="inlineStr">
        <is>
          <t>Área com muitas casas térreas tem Tipo de moradia (V4) alto.</t>
        </is>
      </c>
    </row>
    <row r="11">
      <c r="A11" s="54" t="inlineStr">
        <is>
          <t>Modelo de risco</t>
        </is>
      </c>
      <c r="B11" s="55" t="inlineStr">
        <is>
          <t>Impacto</t>
        </is>
      </c>
      <c r="C11" s="43" t="inlineStr">
        <is>
          <t>Consequência que vai além do local: trânsito nas vias principais, saúde pública (esgoto) e isolamento.</t>
        </is>
      </c>
      <c r="D11" s="43" t="inlineStr">
        <is>
          <t>Alagamento num corredor de transporte metropolitano tem Tipo de via (I1) = 5.</t>
        </is>
      </c>
    </row>
    <row r="12">
      <c r="A12" s="54" t="inlineStr">
        <is>
          <t>Modelo de risco</t>
        </is>
      </c>
      <c r="B12" s="55" t="inlineStr">
        <is>
          <t>Consequência</t>
        </is>
      </c>
      <c r="C12" s="43" t="inlineStr">
        <is>
          <t>Média ponderada de Exposição, Vulnerabilidade e Impacto, de 1 a 5. É o que multiplica a Probabilidade.</t>
        </is>
      </c>
      <c r="D12" s="43" t="inlineStr">
        <is>
          <t>Exposição 4, Vulnerabilidade 2 e Impacto 3 com pesos iguais dão Consequência 3.</t>
        </is>
      </c>
    </row>
    <row r="13">
      <c r="A13" s="54" t="inlineStr">
        <is>
          <t>Modelo de risco</t>
        </is>
      </c>
      <c r="B13" s="55" t="inlineStr">
        <is>
          <t>Nota (1 a 5)</t>
        </is>
      </c>
      <c r="C13" s="43" t="inlineStr">
        <is>
          <t>Valor dado a cada subcritério. 5 = mais crítico, 1 = menos crítico.</t>
        </is>
      </c>
      <c r="D13" s="43" t="inlineStr">
        <is>
          <t>Nota 5 em Maré (P3) = o ponto alaga conforme a maré.</t>
        </is>
      </c>
    </row>
    <row r="14">
      <c r="A14" s="54" t="inlineStr">
        <is>
          <t>Modelo de risco</t>
        </is>
      </c>
      <c r="B14" s="55" t="inlineStr">
        <is>
          <t>Peso</t>
        </is>
      </c>
      <c r="C14" s="43" t="inlineStr">
        <is>
          <t>Importância relativa de um subcritério dentro do critério, ou de um critério dentro da Consequência. Definido pelo grupo. A Probabilidade não tem peso, porque multiplica.</t>
        </is>
      </c>
      <c r="D14" s="43" t="inlineStr">
        <is>
          <t>Frequência e Severidade terão peso maior que Proximidade de rio.</t>
        </is>
      </c>
    </row>
    <row r="15">
      <c r="A15" s="54" t="inlineStr">
        <is>
          <t>Modelo de risco</t>
        </is>
      </c>
      <c r="B15" s="55" t="inlineStr">
        <is>
          <t>Média ponderada</t>
        </is>
      </c>
      <c r="C15" s="43" t="inlineStr">
        <is>
          <t>Média em que cada item conta conforme o seu peso.</t>
        </is>
      </c>
      <c r="D15" s="43" t="inlineStr">
        <is>
          <t>Notas 5 (peso 2) e 2 (peso 1): (5×2 + 2×1) ÷ 3 = 4.</t>
        </is>
      </c>
    </row>
    <row r="16">
      <c r="A16" s="54" t="inlineStr">
        <is>
          <t>Modelo de risco</t>
        </is>
      </c>
      <c r="B16" s="55" t="inlineStr">
        <is>
          <t>Cobertura</t>
        </is>
      </c>
      <c r="C16" s="43" t="inlineStr">
        <is>
          <t>Quantos subcritérios têm nota para o ponto. Nota faltante não vira zero nem média: fica de fora e a cobertura mostra a falta.</t>
        </is>
      </c>
      <c r="D16" s="43" t="inlineStr">
        <is>
          <t>Cobertura 11/13 = faltam 2 notas para aquele ponto.</t>
        </is>
      </c>
    </row>
    <row r="17">
      <c r="A17" s="54" t="inlineStr">
        <is>
          <t>Modelo de risco</t>
        </is>
      </c>
      <c r="B17" s="55" t="inlineStr">
        <is>
          <t>Sem Probabilidade, sem risco</t>
        </is>
      </c>
      <c r="C17" s="43" t="inlineStr">
        <is>
          <t>Como o risco é uma multiplicação, um ponto sem nota de Probabilidade não tem risco calculado nem posição no ranking.</t>
        </is>
      </c>
      <c r="D17" s="43" t="inlineStr">
        <is>
          <t>Por isso a ficha com a EMLURB é prioritária.</t>
        </is>
      </c>
    </row>
    <row r="18">
      <c r="A18" s="54" t="inlineStr">
        <is>
          <t>Modelo de risco</t>
        </is>
      </c>
      <c r="B18" s="55" t="inlineStr">
        <is>
          <t>Contexto no painel</t>
        </is>
      </c>
      <c r="C18" s="43" t="inlineStr">
        <is>
          <t>Informação mostrada no painel sem entrar na nota, porque varia pouco entre os 21 pontos ou não tem dado por ponto.</t>
        </is>
      </c>
      <c r="D18" s="43" t="inlineStr">
        <is>
          <t>Intensidade das chuvas (documento da equipe).</t>
        </is>
      </c>
    </row>
    <row r="19">
      <c r="A19" s="54" t="inlineStr">
        <is>
          <t>Modelo de risco</t>
        </is>
      </c>
      <c r="B19" s="55" t="inlineStr">
        <is>
          <t>Tratabilidade</t>
        </is>
      </c>
      <c r="C19" s="43" t="inlineStr">
        <is>
          <t>Se é fácil agir no ponto (governança, natureza da causa, obra ou orçamento em andamento). Fica FORA do risco. 5 = mais fácil.</t>
        </is>
      </c>
      <c r="D19" s="43" t="inlineStr">
        <is>
          <t>Ponto com dono definido e causa de manutenção tem tratabilidade alta.</t>
        </is>
      </c>
    </row>
    <row r="20">
      <c r="A20" s="54" t="inlineStr">
        <is>
          <t>Modelo de risco</t>
        </is>
      </c>
      <c r="B20" s="55" t="inlineStr">
        <is>
          <t>Matriz risco × tratabilidade</t>
        </is>
      </c>
      <c r="C20" s="43" t="inlineStr">
        <is>
          <t>Cruza o risco (corte em 9) com a tratabilidade (corte em 3) e coloca cada ponto num de 4 quadrantes.</t>
        </is>
      </c>
      <c r="D20" s="43" t="inlineStr">
        <is>
          <t>Risco 12 e tratabilidade 4 = quadrante Agir já.</t>
        </is>
      </c>
    </row>
    <row r="21">
      <c r="A21" s="54" t="inlineStr">
        <is>
          <t>Modelo de risco</t>
        </is>
      </c>
      <c r="B21" s="55" t="inlineStr">
        <is>
          <t>Agir já / Estruturar / Oportunidade / Monitorar</t>
        </is>
      </c>
      <c r="C21" s="43" t="inlineStr">
        <is>
          <t>Quadrantes da matriz. Agir já: risco alto, fácil de agir. Estruturar: risco alto, difícil (exige articulação). Oportunidade: risco baixo, fácil. Monitorar: risco baixo, difícil.</t>
        </is>
      </c>
      <c r="D21" s="43" t="inlineStr"/>
    </row>
    <row r="22">
      <c r="A22" s="54" t="inlineStr">
        <is>
          <t>Modelo de risco</t>
        </is>
      </c>
      <c r="B22" s="55" t="inlineStr">
        <is>
          <t>Diagnóstico de causa</t>
        </is>
      </c>
      <c r="C22" s="43" t="inlineStr">
        <is>
          <t>Por que o ponto alaga (drenagem obstruída, subdimensionada, maré, esgoto). Fica fora do risco e indica qual órgão age.</t>
        </is>
      </c>
      <c r="D22" s="43" t="inlineStr">
        <is>
          <t>Galeria assoreada → EMLURB (manutenção).</t>
        </is>
      </c>
    </row>
    <row r="23">
      <c r="A23" s="54" t="inlineStr">
        <is>
          <t>Modelo de risco</t>
        </is>
      </c>
      <c r="B23" s="55" t="inlineStr">
        <is>
          <t>Análise de sensibilidade</t>
        </is>
      </c>
      <c r="C23" s="43" t="inlineStr">
        <is>
          <t>Recalcular o ranking com outros pesos (ex.: pesos iguais) para ver se o resultado depende demais dos pesos escolhidos.</t>
        </is>
      </c>
      <c r="D23" s="43" t="inlineStr">
        <is>
          <t>Se o top 5 muda muito, avisar a alta gestão.</t>
        </is>
      </c>
    </row>
    <row r="24">
      <c r="A24" s="56" t="inlineStr">
        <is>
          <t>Tipo de nota</t>
        </is>
      </c>
      <c r="B24" s="55" t="inlineStr">
        <is>
          <t>Faixa fixa</t>
        </is>
      </c>
      <c r="C24" s="43" t="inlineStr">
        <is>
          <t>O valor medido cai numa faixa definida antes da coleta. A nota não depende dos outros pontos.</t>
        </is>
      </c>
      <c r="D24" s="43" t="inlineStr">
        <is>
          <t>P1: 5 alagamentos/ano cai em '5–6' = nota 4.</t>
        </is>
      </c>
    </row>
    <row r="25">
      <c r="A25" s="56" t="inlineStr">
        <is>
          <t>Tipo de nota</t>
        </is>
      </c>
      <c r="B25" s="55" t="inlineStr">
        <is>
          <t>Classe</t>
        </is>
      </c>
      <c r="C25" s="43" t="inlineStr">
        <is>
          <t>O ponto é encaixado numa categoria descritiva, não num número.</t>
        </is>
      </c>
      <c r="D25" s="43" t="inlineStr">
        <is>
          <t>P3: 'agrava ocasionalmente' = nota 3.</t>
        </is>
      </c>
    </row>
    <row r="26">
      <c r="A26" s="56" t="inlineStr">
        <is>
          <t>Tipo de nota</t>
        </is>
      </c>
      <c r="B26" s="55" t="inlineStr">
        <is>
          <t>Quintil</t>
        </is>
      </c>
      <c r="C26" s="43" t="inlineStr">
        <is>
          <t>Nota relativa entre os 21 pontos: os valores são ordenados e divididos em 5 grupos de ~4 pontos. Os 20% menores recebem 1; os 20% maiores, 5.</t>
        </is>
      </c>
      <c r="D26" s="43" t="inlineStr">
        <is>
          <t>E1: os ~4 pontos com mais moradores recebem nota 5.</t>
        </is>
      </c>
    </row>
    <row r="27">
      <c r="A27" s="56" t="inlineStr">
        <is>
          <t>Tipo de nota</t>
        </is>
      </c>
      <c r="B27" s="55" t="inlineStr">
        <is>
          <t>Quintil invertido</t>
        </is>
      </c>
      <c r="C27" s="43" t="inlineStr">
        <is>
          <t>Igual ao quintil, mas o MENOR valor recebe a nota mais alta.</t>
        </is>
      </c>
      <c r="D27" s="43" t="inlineStr">
        <is>
          <t>P4: o ponto mais perto do rio recebe nota 5.</t>
        </is>
      </c>
    </row>
    <row r="28">
      <c r="A28" s="56" t="inlineStr">
        <is>
          <t>Tipo de nota</t>
        </is>
      </c>
      <c r="B28" s="55" t="inlineStr">
        <is>
          <t>Faixa provisória</t>
        </is>
      </c>
      <c r="C28" s="43" t="inlineStr">
        <is>
          <t>Faixa proposta antes de ver os dados reais. Deve ser calibrada quando os dados chegarem.</t>
        </is>
      </c>
      <c r="D28" s="43" t="inlineStr">
        <is>
          <t>Se todos os pontos caírem na mesma faixa, ela precisa ser ajustada.</t>
        </is>
      </c>
    </row>
    <row r="29">
      <c r="A29" s="56" t="inlineStr">
        <is>
          <t>Tipo de nota</t>
        </is>
      </c>
      <c r="B29" s="55" t="inlineStr">
        <is>
          <t>Origem da faixa</t>
        </is>
      </c>
      <c r="C29" s="43" t="inlineStr">
        <is>
          <t>De onde veio a escala: planilha original da equipe, referência oficial (ex.: Ipea) ou proposta do Claude (a revisar pelo grupo).</t>
        </is>
      </c>
      <c r="D29" s="43" t="inlineStr"/>
    </row>
    <row r="30">
      <c r="A30" s="57" t="inlineStr">
        <is>
          <t>Território e SIG</t>
        </is>
      </c>
      <c r="B30" s="55" t="inlineStr">
        <is>
          <t>Ponto crítico</t>
        </is>
      </c>
      <c r="C30" s="43" t="inlineStr">
        <is>
          <t>Local da lista da EMLURB onde há alagamento recorrente. Pode ser um ponto, um trecho de rua ou vários trechos.</t>
        </is>
      </c>
      <c r="D30" s="43" t="inlineStr">
        <is>
          <t>Ponto 24 — Ipsep, Rua Blumenau (até a maré).</t>
        </is>
      </c>
    </row>
    <row r="31">
      <c r="A31" s="57" t="inlineStr">
        <is>
          <t>Território e SIG</t>
        </is>
      </c>
      <c r="B31" s="55" t="inlineStr">
        <is>
          <t>Trecho (Linha / Vários)</t>
        </is>
      </c>
      <c r="C31" s="43" t="inlineStr">
        <is>
          <t>Ponto crítico que é uma extensão de rua, não um local único. 12 dos 21 pontos são trechos.</t>
        </is>
      </c>
      <c r="D31" s="43" t="inlineStr">
        <is>
          <t>Ponto 11 — Rua Professor José Brandão (toda a extensão).</t>
        </is>
      </c>
    </row>
    <row r="32">
      <c r="A32" s="57" t="inlineStr">
        <is>
          <t>Território e SIG</t>
        </is>
      </c>
      <c r="B32" s="55" t="inlineStr">
        <is>
          <t>RPA 6</t>
        </is>
      </c>
      <c r="C32" s="43" t="inlineStr">
        <is>
          <t>Região Político-Administrativa 6 do Recife (Boa Viagem, Pina, Imbiribeira, Ipsep, Ibura, Jordão, entre outros bairros). Escopo do piloto.</t>
        </is>
      </c>
      <c r="D32" s="43" t="inlineStr"/>
    </row>
    <row r="33">
      <c r="A33" s="57" t="inlineStr">
        <is>
          <t>Território e SIG</t>
        </is>
      </c>
      <c r="B33" s="55" t="inlineStr">
        <is>
          <t>SIG</t>
        </is>
      </c>
      <c r="C33" s="43" t="inlineStr">
        <is>
          <t>Sistema de Informação Geográfica: programa para mapas e cálculos espaciais. Usamos o ArcGIS Pro.</t>
        </is>
      </c>
      <c r="D33" s="43" t="inlineStr"/>
    </row>
    <row r="34">
      <c r="A34" s="57" t="inlineStr">
        <is>
          <t>Território e SIG</t>
        </is>
      </c>
      <c r="B34" s="55" t="inlineStr">
        <is>
          <t>Círculo de 300 m (buffer)</t>
        </is>
      </c>
      <c r="C34" s="43" t="inlineStr">
        <is>
          <t>Área de 300 m em volta do ponto (ou da linha do trecho) onde se medem os subcritérios do SIG. Usado no cálculo do risco.</t>
        </is>
      </c>
      <c r="D34" s="43" t="inlineStr">
        <is>
          <t>Moradores dentro do círculo = População (E1).</t>
        </is>
      </c>
    </row>
    <row r="35">
      <c r="A35" s="57" t="inlineStr">
        <is>
          <t>Território e SIG</t>
        </is>
      </c>
      <c r="B35" s="55" t="inlineStr">
        <is>
          <t>Área de influência de 1 km</t>
        </is>
      </c>
      <c r="C35" s="43" t="inlineStr">
        <is>
          <t>Círculo de 1 km mostrado no painel só como informação. Não entra no cálculo, porque com 1 km quase todos os pontos se sobrepõem.</t>
        </is>
      </c>
      <c r="D35" s="43" t="inlineStr"/>
    </row>
    <row r="36">
      <c r="A36" s="57" t="inlineStr">
        <is>
          <t>Território e SIG</t>
        </is>
      </c>
      <c r="B36" s="55" t="inlineStr">
        <is>
          <t>Grupo de sobreposição (G1–G5)</t>
        </is>
      </c>
      <c r="C36" s="43" t="inlineStr">
        <is>
          <t>Pontos cujos círculos de 300 m se sobrepõem. Nesses grupos os subcritérios do SIG tendem a dar notas parecidas.</t>
        </is>
      </c>
      <c r="D36" s="43" t="inlineStr">
        <is>
          <t>G1 = pontos 5, 6, 7, 11 e 12 (Conselheiro Aguiar).</t>
        </is>
      </c>
    </row>
    <row r="37">
      <c r="A37" s="57" t="inlineStr">
        <is>
          <t>Território e SIG</t>
        </is>
      </c>
      <c r="B37" s="55" t="inlineStr">
        <is>
          <t>Ponderação por área</t>
        </is>
      </c>
      <c r="C37" s="43" t="inlineStr">
        <is>
          <t>Quando uma área de dados (setor, célula) corta o círculo, conta só a parte que fica dentro dele.</t>
        </is>
      </c>
      <c r="D37" s="43" t="inlineStr">
        <is>
          <t>Setor com 40% da área no círculo contribui com 40% da população.</t>
        </is>
      </c>
    </row>
    <row r="38">
      <c r="A38" s="57" t="inlineStr">
        <is>
          <t>Território e SIG</t>
        </is>
      </c>
      <c r="B38" s="55" t="inlineStr">
        <is>
          <t>EPSG:31985 (SIRGAS 2000 / UTM 25S)</t>
        </is>
      </c>
      <c r="C38" s="43" t="inlineStr">
        <is>
          <t>Sistema de coordenadas usado no projeto. Todas as camadas precisam estar nele antes dos cálculos.</t>
        </is>
      </c>
      <c r="D38" s="43" t="inlineStr"/>
    </row>
    <row r="39">
      <c r="A39" s="57" t="inlineStr">
        <is>
          <t>Território e SIG</t>
        </is>
      </c>
      <c r="B39" s="55" t="inlineStr">
        <is>
          <t>Coordenada aproximada / verificada</t>
        </is>
      </c>
      <c r="C39" s="43" t="inlineStr">
        <is>
          <t>Aproximada = localizada automaticamente e ainda não conferida. Verificada = conferida com a EMLURB ou por imagem de satélite.</t>
        </is>
      </c>
      <c r="D39" s="43" t="inlineStr">
        <is>
          <t>Hoje nenhuma das 21 coordenadas está verificada.</t>
        </is>
      </c>
    </row>
    <row r="40">
      <c r="A40" s="57" t="inlineStr">
        <is>
          <t>Território e SIG</t>
        </is>
      </c>
      <c r="B40" s="55" t="inlineStr">
        <is>
          <t>Bacia / sub-bacia</t>
        </is>
      </c>
      <c r="C40" s="43" t="inlineStr">
        <is>
          <t>Área que drena para um mesmo rio ou canal. Hierarquia do Plano de Drenagem: Bacia → Sub-bacia → Ponto crítico → Obra.</t>
        </is>
      </c>
      <c r="D40" s="43" t="inlineStr">
        <is>
          <t>Usada para ligar obras aos pontos.</t>
        </is>
      </c>
    </row>
    <row r="41">
      <c r="A41" s="57" t="inlineStr">
        <is>
          <t>Território e SIG</t>
        </is>
      </c>
      <c r="B41" s="55" t="inlineStr">
        <is>
          <t>Shapefile / GeoJSON</t>
        </is>
      </c>
      <c r="C41" s="43" t="inlineStr">
        <is>
          <t>Formatos de arquivo de mapa que o ArcGIS abre.</t>
        </is>
      </c>
      <c r="D41" s="43" t="inlineStr">
        <is>
          <t>dados/processados/pontos_rpa6.geojson tem os 21 pontos.</t>
        </is>
      </c>
    </row>
    <row r="42">
      <c r="A42" s="58" t="inlineStr">
        <is>
          <t>Fontes de dados</t>
        </is>
      </c>
      <c r="B42" s="55" t="inlineStr">
        <is>
          <t>Censo 2022 (IBGE)</t>
        </is>
      </c>
      <c r="C42" s="43" t="inlineStr">
        <is>
          <t>Recenseamento de 2022. Fonte de população, idade, tipo de domicílio e esgotamento.</t>
        </is>
      </c>
      <c r="D42" s="43" t="inlineStr"/>
    </row>
    <row r="43">
      <c r="A43" s="58" t="inlineStr">
        <is>
          <t>Fontes de dados</t>
        </is>
      </c>
      <c r="B43" s="55" t="inlineStr">
        <is>
          <t>Setor censitário</t>
        </is>
      </c>
      <c r="C43" s="43" t="inlineStr">
        <is>
          <t>Menor área de divulgação do Censo (no Recife adensado, poucos quarteirões).</t>
        </is>
      </c>
      <c r="D43" s="43" t="inlineStr"/>
    </row>
    <row r="44">
      <c r="A44" s="58" t="inlineStr">
        <is>
          <t>Fontes de dados</t>
        </is>
      </c>
      <c r="B44" s="55" t="inlineStr">
        <is>
          <t>Grade Estatística (IBGE)</t>
        </is>
      </c>
      <c r="C44" s="43" t="inlineStr">
        <is>
          <t>Malha de quadrados de 200 × 200 m (área urbana) com a população do Censo 2022.</t>
        </is>
      </c>
      <c r="D44" s="43" t="inlineStr">
        <is>
          <t>Fonte do E1.</t>
        </is>
      </c>
    </row>
    <row r="45">
      <c r="A45" s="58" t="inlineStr">
        <is>
          <t>Fontes de dados</t>
        </is>
      </c>
      <c r="B45" s="55" t="inlineStr">
        <is>
          <t>CNEFE (IBGE)</t>
        </is>
      </c>
      <c r="C45" s="43" t="inlineStr">
        <is>
          <t>Cadastro de endereços do Censo 2022, com coordenada e tipo de uso (domicílio, ensino, saúde, outras finalidades).</t>
        </is>
      </c>
      <c r="D45" s="43" t="inlineStr">
        <is>
          <t>Fonte do E2 e do E3.</t>
        </is>
      </c>
    </row>
    <row r="46">
      <c r="A46" s="58" t="inlineStr">
        <is>
          <t>Fontes de dados</t>
        </is>
      </c>
      <c r="B46" s="55" t="inlineStr">
        <is>
          <t>Favelas e Comunidades Urbanas (IBGE)</t>
        </is>
      </c>
      <c r="C46" s="43" t="inlineStr">
        <is>
          <t>Mapeamento do IBGE das favelas e comunidades urbanas no Censo 2022. Publicação da malha ainda não confirmada.</t>
        </is>
      </c>
      <c r="D46" s="43" t="inlineStr">
        <is>
          <t>Fonte do V3.</t>
        </is>
      </c>
    </row>
    <row r="47">
      <c r="A47" s="58" t="inlineStr">
        <is>
          <t>Fontes de dados</t>
        </is>
      </c>
      <c r="B47" s="55" t="inlineStr">
        <is>
          <t>IVS (Ipea)</t>
        </is>
      </c>
      <c r="C47" s="43" t="inlineStr">
        <is>
          <t>Índice de Vulnerabilidade Social do Ipea, de 0 a 1 (quanto maior, mais vulnerável). Base do Censo 2010.</t>
        </is>
      </c>
      <c r="D47" s="43" t="inlineStr">
        <is>
          <t>Plano B do V3.</t>
        </is>
      </c>
    </row>
    <row r="48">
      <c r="A48" s="58" t="inlineStr">
        <is>
          <t>Fontes de dados</t>
        </is>
      </c>
      <c r="B48" s="55" t="inlineStr">
        <is>
          <t>UDH</t>
        </is>
      </c>
      <c r="C48" s="43" t="inlineStr">
        <is>
          <t>Unidade de Desenvolvimento Humano: área usada pelo Ipea, maior que o setor censitário.</t>
        </is>
      </c>
      <c r="D48" s="43" t="inlineStr"/>
    </row>
    <row r="49">
      <c r="A49" s="58" t="inlineStr">
        <is>
          <t>Fontes de dados</t>
        </is>
      </c>
      <c r="B49" s="55" t="inlineStr">
        <is>
          <t>MapBiomas</t>
        </is>
      </c>
      <c r="C49" s="43" t="inlineStr">
        <is>
          <t>Mapa de cobertura do solo (vegetação, área construída etc.) com pixels de 30 m. Não verificado.</t>
        </is>
      </c>
      <c r="D49" s="43" t="inlineStr">
        <is>
          <t>Fonte do P5.</t>
        </is>
      </c>
    </row>
    <row r="50">
      <c r="A50" s="58" t="inlineStr">
        <is>
          <t>Fontes de dados</t>
        </is>
      </c>
      <c r="B50" s="55" t="inlineStr">
        <is>
          <t>ESIG</t>
        </is>
      </c>
      <c r="C50" s="43" t="inlineStr">
        <is>
          <t>Sistema de informações geográficas da Prefeitura do Recife (vias, lotes, edificações, recursos hídricos).</t>
        </is>
      </c>
      <c r="D50" s="43" t="inlineStr"/>
    </row>
    <row r="51">
      <c r="A51" s="58" t="inlineStr">
        <is>
          <t>Fontes de dados</t>
        </is>
      </c>
      <c r="B51" s="55" t="inlineStr">
        <is>
          <t>CNES / DATASUS</t>
        </is>
      </c>
      <c r="C51" s="43" t="inlineStr">
        <is>
          <t>Cadastro Nacional de Estabelecimentos de Saúde.</t>
        </is>
      </c>
      <c r="D51" s="43" t="inlineStr">
        <is>
          <t>Complementa o E2.</t>
        </is>
      </c>
    </row>
    <row r="52">
      <c r="A52" s="58" t="inlineStr">
        <is>
          <t>Fontes de dados</t>
        </is>
      </c>
      <c r="B52" s="55" t="inlineStr">
        <is>
          <t>APAC / Cemaden</t>
        </is>
      </c>
      <c r="C52" s="43" t="inlineStr">
        <is>
          <t>Agência Pernambucana de Águas e Clima / Centro Nacional de Monitoramento de Desastres: dados de chuva e marés.</t>
        </is>
      </c>
      <c r="D52" s="43" t="inlineStr"/>
    </row>
    <row r="53">
      <c r="A53" s="58" t="inlineStr">
        <is>
          <t>Fontes de dados</t>
        </is>
      </c>
      <c r="B53" s="55" t="inlineStr">
        <is>
          <t>PMDR</t>
        </is>
      </c>
      <c r="C53" s="43" t="inlineStr">
        <is>
          <t>Plano Municipal de Drenagem do Recife. Define bacias e sub-bacias.</t>
        </is>
      </c>
      <c r="D53" s="43" t="inlineStr"/>
    </row>
    <row r="54">
      <c r="A54" s="58" t="inlineStr">
        <is>
          <t>Fontes de dados</t>
        </is>
      </c>
      <c r="B54" s="55" t="inlineStr">
        <is>
          <t>Ficha EMLURB</t>
        </is>
      </c>
      <c r="C54" s="43" t="inlineStr">
        <is>
          <t>Formulário a ser preenchido com a EMLURB, com uma linha por ponto: localização, frequência, severidade, maré e obras ligadas.</t>
        </is>
      </c>
      <c r="D54" s="43" t="inlineStr">
        <is>
          <t>Fonte provisória de P1, P2 e P3.</t>
        </is>
      </c>
    </row>
    <row r="55">
      <c r="A55" s="59" t="inlineStr">
        <is>
          <t>Checklist</t>
        </is>
      </c>
      <c r="B55" s="55" t="inlineStr">
        <is>
          <t>Recomendação</t>
        </is>
      </c>
      <c r="C55" s="43" t="inlineStr">
        <is>
          <t>Manter = entra no modelo. Condicional = só entra se o dado existir. Plano B = usado só se outro subcritério falhar. Peso alto / menor = sugestão para a definição dos pesos.</t>
        </is>
      </c>
      <c r="D55" s="43" t="inlineStr"/>
    </row>
    <row r="56">
      <c r="A56" s="59" t="inlineStr">
        <is>
          <t>Checklist</t>
        </is>
      </c>
      <c r="B56" s="55" t="inlineStr">
        <is>
          <t>Fonte confirmada?</t>
        </is>
      </c>
      <c r="C56" s="43" t="inlineStr">
        <is>
          <t>A base de dados existe e a equipe consegue acessá-la (download ou pedido atendido).</t>
        </is>
      </c>
      <c r="D56" s="43" t="inlineStr"/>
    </row>
    <row r="57">
      <c r="A57" s="59" t="inlineStr">
        <is>
          <t>Checklist</t>
        </is>
      </c>
      <c r="B57" s="55" t="inlineStr">
        <is>
          <t>Dado existe na fonte?</t>
        </is>
      </c>
      <c r="C57" s="43" t="inlineStr">
        <is>
          <t>A variável necessária está na base, na escala do círculo de 300 m, e cobre os 21 pontos.</t>
        </is>
      </c>
      <c r="D57" s="43" t="inlineStr">
        <is>
          <t>O IBGE existe (fonte confirmada), mas falta checar se o tipo de domicílio vem por setor.</t>
        </is>
      </c>
    </row>
    <row r="58">
      <c r="A58" s="59" t="inlineStr">
        <is>
          <t>Checklist</t>
        </is>
      </c>
      <c r="B58" s="55" t="inlineStr">
        <is>
          <t>Sim / Parcial / Não / Pendente</t>
        </is>
      </c>
      <c r="C58" s="43" t="inlineStr">
        <is>
          <t>Sim = confirmado. Parcial = existe, mas com limitação (escala, cobertura, data). Não = não existe ou não é acessível. Pendente = ainda não checado.</t>
        </is>
      </c>
      <c r="D58" s="43" t="inlineStr"/>
    </row>
    <row r="59">
      <c r="A59" s="59" t="inlineStr">
        <is>
          <t>Checklist</t>
        </is>
      </c>
      <c r="B59" s="55" t="inlineStr">
        <is>
          <t>Busca prévia (Claude)</t>
        </is>
      </c>
      <c r="C59" s="43" t="inlineStr">
        <is>
          <t>O que foi encontrado em busca na internet. 'Confirmado na busca' = a base aparece como publicada, mas o arquivo não foi aberto.</t>
        </is>
      </c>
      <c r="D59" s="43" t="inlineStr"/>
    </row>
    <row r="60">
      <c r="A60" s="60" t="inlineStr">
        <is>
          <t>Órgãos</t>
        </is>
      </c>
      <c r="B60" s="55" t="inlineStr">
        <is>
          <t>COP</t>
        </is>
      </c>
      <c r="C60" s="43" t="inlineStr">
        <is>
          <t>Centro de Operações do Recife: monitoramento e resposta aos eventos.</t>
        </is>
      </c>
      <c r="D60" s="43" t="inlineStr"/>
    </row>
    <row r="61">
      <c r="A61" s="60" t="inlineStr">
        <is>
          <t>Órgãos</t>
        </is>
      </c>
      <c r="B61" s="55" t="inlineStr">
        <is>
          <t>EMLURB</t>
        </is>
      </c>
      <c r="C61" s="43" t="inlineStr">
        <is>
          <t>Empresa de Manutenção e Limpeza Urbana: manutenção da drenagem e lista de pontos críticos.</t>
        </is>
      </c>
      <c r="D61" s="43" t="inlineStr"/>
    </row>
    <row r="62">
      <c r="A62" s="60" t="inlineStr">
        <is>
          <t>Órgãos</t>
        </is>
      </c>
      <c r="B62" s="55" t="inlineStr">
        <is>
          <t>Defesa Civil (Sedec)</t>
        </is>
      </c>
      <c r="C62" s="43" t="inlineStr">
        <is>
          <t>Áreas de risco, alertas e vistorias.</t>
        </is>
      </c>
      <c r="D62" s="43" t="inlineStr"/>
    </row>
    <row r="63">
      <c r="A63" s="60" t="inlineStr">
        <is>
          <t>Órgãos</t>
        </is>
      </c>
      <c r="B63" s="55" t="inlineStr">
        <is>
          <t>URB</t>
        </is>
      </c>
      <c r="C63" s="43" t="inlineStr">
        <is>
          <t>Autarquia de Urbanização do Recife: obras urbanas e de drenagem.</t>
        </is>
      </c>
      <c r="D63" s="43" t="inlineStr"/>
    </row>
    <row r="64">
      <c r="A64" s="60" t="inlineStr">
        <is>
          <t>Órgãos</t>
        </is>
      </c>
      <c r="B64" s="55" t="inlineStr">
        <is>
          <t>CTTU</t>
        </is>
      </c>
      <c r="C64" s="43" t="inlineStr">
        <is>
          <t>Autarquia de Trânsito e Transporte Urbano: trânsito, vias e interdições.</t>
        </is>
      </c>
      <c r="D64" s="43" t="inlineStr"/>
    </row>
    <row r="65">
      <c r="A65" s="60" t="inlineStr">
        <is>
          <t>Órgãos</t>
        </is>
      </c>
      <c r="B65" s="55" t="inlineStr">
        <is>
          <t>Compesa</t>
        </is>
      </c>
      <c r="C65" s="43" t="inlineStr">
        <is>
          <t>Companhia Pernambucana de Saneamento: água e esgoto.</t>
        </is>
      </c>
      <c r="D65" s="43" t="inlineStr"/>
    </row>
    <row r="66">
      <c r="A66" s="60" t="inlineStr">
        <is>
          <t>Órgãos</t>
        </is>
      </c>
      <c r="B66" s="55" t="inlineStr">
        <is>
          <t>ProMorar</t>
        </is>
      </c>
      <c r="C66" s="43" t="inlineStr">
        <is>
          <t>Programa de urbanização de comunidades.</t>
        </is>
      </c>
      <c r="D66" s="43" t="inlineStr"/>
    </row>
    <row r="67">
      <c r="A67" s="60" t="inlineStr">
        <is>
          <t>Órgãos</t>
        </is>
      </c>
      <c r="B67" s="55" t="inlineStr">
        <is>
          <t>SEPLAG / SEPLAN</t>
        </is>
      </c>
      <c r="C67" s="43" t="inlineStr">
        <is>
          <t>Planejamento e gestão. A SEPLAN não é a SEPLAG; o papel dela no projeto ainda será definido.</t>
        </is>
      </c>
      <c r="D67" s="43" t="inlineStr"/>
    </row>
    <row r="68">
      <c r="A68" s="60" t="inlineStr">
        <is>
          <t>Órgãos</t>
        </is>
      </c>
      <c r="B68" s="55" t="inlineStr">
        <is>
          <t>Grande Recife Consórcio</t>
        </is>
      </c>
      <c r="C68" s="43" t="inlineStr">
        <is>
          <t>Consórcio de transporte metropolitano: linhas e paradas de ônibus.</t>
        </is>
      </c>
      <c r="D68" s="43" t="inlineStr"/>
    </row>
  </sheetData>
  <autoFilter ref="A4:D68"/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2026-10-03T13:48:17Z</dcterms:created>
  <dcterms:modified xsi:type="dcterms:W3CDTF">2026-10-03T13:48:17Z</dcterms:modified>
</cp:coreProperties>
</file>