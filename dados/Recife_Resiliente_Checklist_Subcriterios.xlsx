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subcritérios" sheetId="1" state="visible" r:id="rId1"/>
    <sheet name="Glossário" sheetId="2" state="visible" r:id="rId2"/>
  </sheets>
  <definedNames>
    <definedName name="_xlnm._FilterDatabase" localSheetId="0" hidden="1">'Checklist subcritérios'!$A$4:$Q$19</definedName>
    <definedName name="_xlnm._FilterDatabase" localSheetId="1" hidden="1">'Glossário'!$A$4:$D$67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2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22" customWidth="1" min="11" max="11"/>
    <col width="24" customWidth="1" min="12" max="12"/>
    <col width="34" customWidth="1" min="13" max="13"/>
    <col width="12" customWidth="1" min="14" max="14"/>
    <col width="12" customWidth="1" min="15" max="15"/>
    <col width="34" customWidth="1" min="16" max="16"/>
    <col width="30" customWidth="1" min="17" max="17"/>
  </cols>
  <sheetData>
    <row r="1">
      <c r="A1" s="1" t="inlineStr">
        <is>
          <t>Recife Resiliente — Subcritérios, notas, fontes e checklist dos dados (RPA 6)</t>
        </is>
      </c>
    </row>
    <row r="2" ht="44" customHeight="1">
      <c r="A2" s="2" t="inlineStr">
        <is>
          <t>Proposta de 02/10/2026 (Pedro + Claude), não validada pelo grupo. Nota 5 = mais crítico. Faixa fixa = valor absoluto (provisória: calibrar com os dados reais). Quintil = nota relativa entre os 21 pontos (Quintil 1 = 20% com menor valor). Preencha as colunas amarelas (N, O e P):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Critério</t>
        </is>
      </c>
      <c r="B4" s="3" t="inlineStr">
        <is>
          <t>Código</t>
        </is>
      </c>
      <c r="C4" s="3" t="inlineStr">
        <is>
          <t>Subcritério</t>
        </is>
      </c>
      <c r="D4" s="3" t="inlineStr">
        <is>
          <t>Como medir</t>
        </is>
      </c>
      <c r="E4" s="3" t="inlineStr">
        <is>
          <t>Tipo de nota</t>
        </is>
      </c>
      <c r="F4" s="3" t="inlineStr">
        <is>
          <t>Nota 1</t>
        </is>
      </c>
      <c r="G4" s="3" t="inlineStr">
        <is>
          <t>Nota 2</t>
        </is>
      </c>
      <c r="H4" s="3" t="inlineStr">
        <is>
          <t>Nota 3</t>
        </is>
      </c>
      <c r="I4" s="3" t="inlineStr">
        <is>
          <t>Nota 4</t>
        </is>
      </c>
      <c r="J4" s="3" t="inlineStr">
        <is>
          <t>Nota 5</t>
        </is>
      </c>
      <c r="K4" s="3" t="inlineStr">
        <is>
          <t>Origem da faixa</t>
        </is>
      </c>
      <c r="L4" s="3" t="inlineStr">
        <is>
          <t>Recomendação</t>
        </is>
      </c>
      <c r="M4" s="3" t="inlineStr">
        <is>
          <t>Fonte</t>
        </is>
      </c>
      <c r="N4" s="3" t="inlineStr">
        <is>
          <t>Fonte confirmada?</t>
        </is>
      </c>
      <c r="O4" s="3" t="inlineStr">
        <is>
          <t>Dado existe na fonte?</t>
        </is>
      </c>
      <c r="P4" s="3" t="inlineStr">
        <is>
          <t>Observação</t>
        </is>
      </c>
      <c r="Q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de alagamento</t>
        </is>
      </c>
      <c r="D5" s="6" t="inlineStr">
        <is>
          <t>Média de eventos por ano nas 3 últimas estações chuvosas</t>
        </is>
      </c>
      <c r="E5" s="7" t="inlineStr">
        <is>
          <t>Faixa fixa</t>
        </is>
      </c>
      <c r="F5" s="8" t="inlineStr">
        <is>
          <t>&lt; 1</t>
        </is>
      </c>
      <c r="G5" s="9" t="inlineStr">
        <is>
          <t>1–2</t>
        </is>
      </c>
      <c r="H5" s="10" t="inlineStr">
        <is>
          <t>3–4</t>
        </is>
      </c>
      <c r="I5" s="11" t="inlineStr">
        <is>
          <t>5–6</t>
        </is>
      </c>
      <c r="J5" s="12" t="inlineStr">
        <is>
          <t>≥ 7</t>
        </is>
      </c>
      <c r="K5" s="6" t="inlineStr">
        <is>
          <t>Planilha original (provisória)</t>
        </is>
      </c>
      <c r="L5" s="6" t="inlineStr">
        <is>
          <t>Manter — peso alto</t>
        </is>
      </c>
      <c r="M5" s="6" t="inlineStr">
        <is>
          <t>Ficha preenchida com a EMLURB (agora); ocorrências do COP e da Defesa Civil (confirmação)</t>
        </is>
      </c>
      <c r="N5" s="13" t="inlineStr">
        <is>
          <t>Pendente</t>
        </is>
      </c>
      <c r="O5" s="13" t="inlineStr">
        <is>
          <t>Pendente</t>
        </is>
      </c>
      <c r="P5" s="14" t="inlineStr">
        <is>
          <t>Pedido ao COP via tutora/CGM. 156 só para conferir. Calibrar faixas com a distribuição real.</t>
        </is>
      </c>
      <c r="Q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7" t="inlineStr">
        <is>
          <t>Faixa fixa</t>
        </is>
      </c>
      <c r="F6" s="8" t="inlineStr">
        <is>
          <t>Altura &lt; 10 cm / baixa em &lt; 1 h</t>
        </is>
      </c>
      <c r="G6" s="9" t="inlineStr">
        <is>
          <t>10–30 cm (tornozelo) / 1–3 h</t>
        </is>
      </c>
      <c r="H6" s="10" t="inlineStr">
        <is>
          <t>30–50 cm (joelho) / 3–6 h</t>
        </is>
      </c>
      <c r="I6" s="11" t="inlineStr">
        <is>
          <t>50–100 cm (cintura) / 6–12 h</t>
        </is>
      </c>
      <c r="J6" s="12" t="inlineStr">
        <is>
          <t>&gt; 100 cm / &gt; 12 h</t>
        </is>
      </c>
      <c r="K6" s="6" t="inlineStr">
        <is>
          <t>Planilha original (provisória); regra da média: proposta Claude</t>
        </is>
      </c>
      <c r="L6" s="6" t="inlineStr">
        <is>
          <t>Manter — peso alto</t>
        </is>
      </c>
      <c r="M6" s="6" t="inlineStr">
        <is>
          <t>Ficha EMLURB; escuta com Defesa Civil e moradores</t>
        </is>
      </c>
      <c r="N6" s="13" t="inlineStr">
        <is>
          <t>Pendente</t>
        </is>
      </c>
      <c r="O6" s="13" t="inlineStr">
        <is>
          <t>Pendente</t>
        </is>
      </c>
      <c r="P6" s="14" t="inlineStr">
        <is>
          <t>Extensão da mancha fica registrada como informação, sem nota própria.</t>
        </is>
      </c>
      <c r="Q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7" t="inlineStr">
        <is>
          <t>Classe</t>
        </is>
      </c>
      <c r="F7" s="8" t="inlineStr">
        <is>
          <t>Não influencia</t>
        </is>
      </c>
      <c r="G7" s="9" t="inlineStr">
        <is>
          <t>—</t>
        </is>
      </c>
      <c r="H7" s="10" t="inlineStr">
        <is>
          <t>Agrava ocasionalmente</t>
        </is>
      </c>
      <c r="I7" s="11" t="inlineStr">
        <is>
          <t>—</t>
        </is>
      </c>
      <c r="J7" s="12" t="inlineStr">
        <is>
          <t>Alaga dependendo da maré / escoamento bloqueado</t>
        </is>
      </c>
      <c r="K7" s="6" t="inlineStr">
        <is>
          <t>Planilha original</t>
        </is>
      </c>
      <c r="L7" s="6" t="inlineStr">
        <is>
          <t>Manter</t>
        </is>
      </c>
      <c r="M7" s="6" t="inlineStr">
        <is>
          <t>Ficha EMLURB; APAC; tábua de marés</t>
        </is>
      </c>
      <c r="N7" s="13" t="inlineStr">
        <is>
          <t>Pendente</t>
        </is>
      </c>
      <c r="O7" s="13" t="inlineStr">
        <is>
          <t>Pendente</t>
        </is>
      </c>
      <c r="P7" s="14" t="inlineStr">
        <is>
          <t>Notas 2 e 4 ficam para casos intermediários, se a EMLURB indicar.</t>
        </is>
      </c>
      <c r="Q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7" t="inlineStr">
        <is>
          <t>Quintil (invertido)</t>
        </is>
      </c>
      <c r="F8" s="8" t="inlineStr">
        <is>
          <t>Quintil mais distante</t>
        </is>
      </c>
      <c r="G8" s="9" t="inlineStr">
        <is>
          <t>Quintil 2</t>
        </is>
      </c>
      <c r="H8" s="10" t="inlineStr">
        <is>
          <t>Quintil 3</t>
        </is>
      </c>
      <c r="I8" s="11" t="inlineStr">
        <is>
          <t>Quintil 4</t>
        </is>
      </c>
      <c r="J8" s="12" t="inlineStr">
        <is>
          <t>Quintil mais próximo</t>
        </is>
      </c>
      <c r="K8" s="6" t="inlineStr">
        <is>
          <t>Regra de quintis da planilha original</t>
        </is>
      </c>
      <c r="L8" s="6" t="inlineStr">
        <is>
          <t>Manter — peso menor (suscetibilidade)</t>
        </is>
      </c>
      <c r="M8" s="6" t="inlineStr">
        <is>
          <t>Shapefile próprio da rede hidrográfica; ESIG – recursos hídricos</t>
        </is>
      </c>
      <c r="N8" s="13" t="inlineStr">
        <is>
          <t>Pendente</t>
        </is>
      </c>
      <c r="O8" s="13" t="inlineStr">
        <is>
          <t>Pendente</t>
        </is>
      </c>
      <c r="P8" s="14" t="inlineStr">
        <is>
          <t>Reprojetar para EPSG:31985. Conferir se os canais estão no arquivo.</t>
        </is>
      </c>
      <c r="Q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7" t="inlineStr">
        <is>
          <t>Faixa fixa</t>
        </is>
      </c>
      <c r="F9" s="8" t="inlineStr">
        <is>
          <t>&gt; 40%</t>
        </is>
      </c>
      <c r="G9" s="9" t="inlineStr">
        <is>
          <t>30–40%</t>
        </is>
      </c>
      <c r="H9" s="10" t="inlineStr">
        <is>
          <t>20–30%</t>
        </is>
      </c>
      <c r="I9" s="11" t="inlineStr">
        <is>
          <t>10–20%</t>
        </is>
      </c>
      <c r="J9" s="12" t="inlineStr">
        <is>
          <t>&lt; 10%</t>
        </is>
      </c>
      <c r="K9" s="6" t="inlineStr">
        <is>
          <t>Planilha original (provisória)</t>
        </is>
      </c>
      <c r="L9" s="6" t="inlineStr">
        <is>
          <t>Manter — peso menor (suscetibilidade)</t>
        </is>
      </c>
      <c r="M9" s="6" t="inlineStr">
        <is>
          <t>MapBiomas (30 m); alternativa: edificações do ESIG</t>
        </is>
      </c>
      <c r="N9" s="13" t="inlineStr">
        <is>
          <t>Pendente</t>
        </is>
      </c>
      <c r="O9" s="13" t="inlineStr">
        <is>
          <t>Pendente</t>
        </is>
      </c>
      <c r="P9" s="14" t="inlineStr">
        <is>
          <t>Se quase todos os pontos ficarem em &lt; 10%, trocar por quintis.</t>
        </is>
      </c>
      <c r="Q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Baixio</t>
        </is>
      </c>
      <c r="D10" s="6" t="inlineStr">
        <is>
          <t>Cota do ponto menos a cota média do círculo (m); quanto mais baixo, maior a nota</t>
        </is>
      </c>
      <c r="E10" s="7" t="inlineStr">
        <is>
          <t>Quintil (invertido)</t>
        </is>
      </c>
      <c r="F10" s="8" t="inlineStr">
        <is>
          <t>Quintil mais alto</t>
        </is>
      </c>
      <c r="G10" s="9" t="inlineStr">
        <is>
          <t>Quintil 2</t>
        </is>
      </c>
      <c r="H10" s="10" t="inlineStr">
        <is>
          <t>Quintil 3</t>
        </is>
      </c>
      <c r="I10" s="11" t="inlineStr">
        <is>
          <t>Quintil 4</t>
        </is>
      </c>
      <c r="J10" s="12" t="inlineStr">
        <is>
          <t>Quintil mais baixo</t>
        </is>
      </c>
      <c r="K10" s="6" t="inlineStr">
        <is>
          <t>Proposta Claude (quintis)</t>
        </is>
      </c>
      <c r="L10" s="6" t="inlineStr">
        <is>
          <t>Condicional — só com curvas de nível ou modelo de terreno</t>
        </is>
      </c>
      <c r="M10" s="6" t="inlineStr">
        <is>
          <t>ESIG (curvas de nível, a verificar); topografia da Prefeitura</t>
        </is>
      </c>
      <c r="N10" s="13" t="inlineStr">
        <is>
          <t>Pendente</t>
        </is>
      </c>
      <c r="O10" s="13" t="inlineStr">
        <is>
          <t>Pendente</t>
        </is>
      </c>
      <c r="P10" s="14" t="inlineStr">
        <is>
          <t>Medida mais objetiva de acúmulo de água.</t>
        </is>
      </c>
      <c r="Q10" s="6" t="inlineStr">
        <is>
          <t>Não encontrado modelo de terreno público na busca.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7" t="inlineStr">
        <is>
          <t>Quintil</t>
        </is>
      </c>
      <c r="F11" s="8" t="inlineStr">
        <is>
          <t>Quintil 1 (20% menores)</t>
        </is>
      </c>
      <c r="G11" s="9" t="inlineStr">
        <is>
          <t>Quintil 2</t>
        </is>
      </c>
      <c r="H11" s="10" t="inlineStr">
        <is>
          <t>Quintil 3</t>
        </is>
      </c>
      <c r="I11" s="11" t="inlineStr">
        <is>
          <t>Quintil 4</t>
        </is>
      </c>
      <c r="J11" s="12" t="inlineStr">
        <is>
          <t>Quintil 5 (20% maiores)</t>
        </is>
      </c>
      <c r="K11" s="6" t="inlineStr">
        <is>
          <t>Planilha original</t>
        </is>
      </c>
      <c r="L11" s="6" t="inlineStr">
        <is>
          <t>Manter</t>
        </is>
      </c>
      <c r="M11" s="6" t="inlineStr">
        <is>
          <t>IBGE — Grade Estatística 2022 (células de 200 × 200 m)</t>
        </is>
      </c>
      <c r="N11" s="13" t="inlineStr">
        <is>
          <t>Pendente</t>
        </is>
      </c>
      <c r="O11" s="13" t="inlineStr">
        <is>
          <t>Pendente</t>
        </is>
      </c>
      <c r="P11" s="14" t="inlineStr">
        <is>
          <t>No painel, mostrar também o valor em 1 km.</t>
        </is>
      </c>
      <c r="Q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sensíveis</t>
        </is>
      </c>
      <c r="D12" s="6" t="inlineStr">
        <is>
          <t>Nº de escolas, creches e unidades de saúde no círculo</t>
        </is>
      </c>
      <c r="E12" s="7" t="inlineStr">
        <is>
          <t>Faixa fixa</t>
        </is>
      </c>
      <c r="F12" s="8" t="inlineStr">
        <is>
          <t>Nenhum</t>
        </is>
      </c>
      <c r="G12" s="9" t="inlineStr">
        <is>
          <t>1</t>
        </is>
      </c>
      <c r="H12" s="10" t="inlineStr">
        <is>
          <t>2</t>
        </is>
      </c>
      <c r="I12" s="11" t="inlineStr">
        <is>
          <t>3–4</t>
        </is>
      </c>
      <c r="J12" s="12" t="inlineStr">
        <is>
          <t>≥ 5 ou hospital/UPA no círculo</t>
        </is>
      </c>
      <c r="K12" s="6" t="inlineStr">
        <is>
          <t>Proposta Claude (provisória)</t>
        </is>
      </c>
      <c r="L12" s="6" t="inlineStr">
        <is>
          <t>Manter</t>
        </is>
      </c>
      <c r="M12" s="6" t="inlineStr">
        <is>
          <t>IBGE — CNEFE 2022 (ensino e saúde); CNES/DATASUS</t>
        </is>
      </c>
      <c r="N12" s="13" t="inlineStr">
        <is>
          <t>Pendente</t>
        </is>
      </c>
      <c r="O12" s="13" t="inlineStr">
        <is>
          <t>Pendente</t>
        </is>
      </c>
      <c r="P12" s="14" t="inlineStr">
        <is>
          <t>Calibrar com as contagens reais. Conferir se creches aparecem como 'ensino'.</t>
        </is>
      </c>
      <c r="Q12" s="6" t="inlineStr">
        <is>
          <t>CNEFE confirmado na busca (não baixado).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Atividade econômica</t>
        </is>
      </c>
      <c r="D13" s="6" t="inlineStr">
        <is>
          <t>Nº de comércios e serviços no círculo</t>
        </is>
      </c>
      <c r="E13" s="7" t="inlineStr">
        <is>
          <t>Quintil</t>
        </is>
      </c>
      <c r="F13" s="8" t="inlineStr">
        <is>
          <t>Quintil 1 (20% menores)</t>
        </is>
      </c>
      <c r="G13" s="9" t="inlineStr">
        <is>
          <t>Quintil 2</t>
        </is>
      </c>
      <c r="H13" s="10" t="inlineStr">
        <is>
          <t>Quintil 3</t>
        </is>
      </c>
      <c r="I13" s="11" t="inlineStr">
        <is>
          <t>Quintil 4</t>
        </is>
      </c>
      <c r="J13" s="12" t="inlineStr">
        <is>
          <t>Quintil 5 (20% maiores)</t>
        </is>
      </c>
      <c r="K13" s="6" t="inlineStr">
        <is>
          <t>Planilha original</t>
        </is>
      </c>
      <c r="L13" s="6" t="inlineStr">
        <is>
          <t>Manter</t>
        </is>
      </c>
      <c r="M13" s="6" t="inlineStr">
        <is>
          <t>IBGE — CNEFE 2022 (outras finalidades)</t>
        </is>
      </c>
      <c r="N13" s="13" t="inlineStr">
        <is>
          <t>Pendente</t>
        </is>
      </c>
      <c r="O13" s="13" t="inlineStr">
        <is>
          <t>Pendente</t>
        </is>
      </c>
      <c r="P13" s="14" t="inlineStr">
        <is>
          <t>'Outras finalidades' pode incluir templos e órgãos públicos.</t>
        </is>
      </c>
      <c r="Q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Grupos sensíveis</t>
        </is>
      </c>
      <c r="D14" s="6" t="inlineStr">
        <is>
          <t>% de moradores com 60+ anos ou 0–4 anos nos setores do círculo (ponderado pela área)</t>
        </is>
      </c>
      <c r="E14" s="7" t="inlineStr">
        <is>
          <t>Quintil</t>
        </is>
      </c>
      <c r="F14" s="8" t="inlineStr">
        <is>
          <t>Quintil 1 (20% menores)</t>
        </is>
      </c>
      <c r="G14" s="9" t="inlineStr">
        <is>
          <t>Quintil 2</t>
        </is>
      </c>
      <c r="H14" s="10" t="inlineStr">
        <is>
          <t>Quintil 3</t>
        </is>
      </c>
      <c r="I14" s="11" t="inlineStr">
        <is>
          <t>Quintil 4</t>
        </is>
      </c>
      <c r="J14" s="12" t="inlineStr">
        <is>
          <t>Quintil 5 (20% maiores)</t>
        </is>
      </c>
      <c r="K14" s="6" t="inlineStr">
        <is>
          <t>Planilha original</t>
        </is>
      </c>
      <c r="L14" s="6" t="inlineStr">
        <is>
          <t>Manter</t>
        </is>
      </c>
      <c r="M14" s="6" t="inlineStr">
        <is>
          <t>IBGE — Agregados por setor 2022 (idade)</t>
        </is>
      </c>
      <c r="N14" s="13" t="inlineStr">
        <is>
          <t>Pendente</t>
        </is>
      </c>
      <c r="O14" s="13" t="inlineStr">
        <is>
          <t>Pendente</t>
        </is>
      </c>
      <c r="P14" s="14" t="inlineStr"/>
      <c r="Q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Favelas e comunidades urbanas</t>
        </is>
      </c>
      <c r="D15" s="6" t="inlineStr">
        <is>
          <t>% da área do círculo em favelas e comunidades urbanas</t>
        </is>
      </c>
      <c r="E15" s="7" t="inlineStr">
        <is>
          <t>Faixa fixa</t>
        </is>
      </c>
      <c r="F15" s="8" t="inlineStr">
        <is>
          <t>0%</t>
        </is>
      </c>
      <c r="G15" s="9" t="inlineStr">
        <is>
          <t>&lt; 10%</t>
        </is>
      </c>
      <c r="H15" s="10" t="inlineStr">
        <is>
          <t>10–25%</t>
        </is>
      </c>
      <c r="I15" s="11" t="inlineStr">
        <is>
          <t>25–50%</t>
        </is>
      </c>
      <c r="J15" s="12" t="inlineStr">
        <is>
          <t>&gt; 50%</t>
        </is>
      </c>
      <c r="K15" s="6" t="inlineStr">
        <is>
          <t>Proposta Claude (provisória)</t>
        </is>
      </c>
      <c r="L15" s="6" t="inlineStr">
        <is>
          <t>Manter — substitui o V1 se a malha 2022 existir</t>
        </is>
      </c>
      <c r="M15" s="6" t="inlineStr">
        <is>
          <t>IBGE — Favelas e Comunidades Urbanas 2022 (malha)</t>
        </is>
      </c>
      <c r="N15" s="13" t="inlineStr">
        <is>
          <t>Pendente</t>
        </is>
      </c>
      <c r="O15" s="13" t="inlineStr">
        <is>
          <t>Pendente</t>
        </is>
      </c>
      <c r="P15" s="14" t="inlineStr">
        <is>
          <t>Mais atual que o IVS (2010).</t>
        </is>
      </c>
      <c r="Q15" s="6" t="inlineStr">
        <is>
          <t>Não verificado.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7" t="inlineStr">
        <is>
          <t>Quintil</t>
        </is>
      </c>
      <c r="F16" s="8" t="inlineStr">
        <is>
          <t>Quintil 1 (20% menores)</t>
        </is>
      </c>
      <c r="G16" s="9" t="inlineStr">
        <is>
          <t>Quintil 2</t>
        </is>
      </c>
      <c r="H16" s="10" t="inlineStr">
        <is>
          <t>Quintil 3</t>
        </is>
      </c>
      <c r="I16" s="11" t="inlineStr">
        <is>
          <t>Quintil 4</t>
        </is>
      </c>
      <c r="J16" s="12" t="inlineStr">
        <is>
          <t>Quintil 5 (20% maiores)</t>
        </is>
      </c>
      <c r="K16" s="6" t="inlineStr">
        <is>
          <t>Proposta Claude (quintis)</t>
        </is>
      </c>
      <c r="L16" s="6" t="inlineStr">
        <is>
          <t>Manter</t>
        </is>
      </c>
      <c r="M16" s="6" t="inlineStr">
        <is>
          <t>IBGE — Agregados por setor 2022 (tipo de domicílio)</t>
        </is>
      </c>
      <c r="N16" s="13" t="inlineStr">
        <is>
          <t>Pendente</t>
        </is>
      </c>
      <c r="O16" s="13" t="inlineStr">
        <is>
          <t>Pendente</t>
        </is>
      </c>
      <c r="P16" s="14" t="inlineStr">
        <is>
          <t>Casa térrea é mais atingida que apartamento.</t>
        </is>
      </c>
      <c r="Q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V1</t>
        </is>
      </c>
      <c r="C17" s="6" t="inlineStr">
        <is>
          <t>Vulnerabilidade social (IVS)</t>
        </is>
      </c>
      <c r="D17" s="6" t="inlineStr">
        <is>
          <t>Maior IVS entre as UDHs que tocam o círculo</t>
        </is>
      </c>
      <c r="E17" s="7" t="inlineStr">
        <is>
          <t>Faixa fixa</t>
        </is>
      </c>
      <c r="F17" s="8" t="inlineStr">
        <is>
          <t>Muito baixa (0–0,200)</t>
        </is>
      </c>
      <c r="G17" s="9" t="inlineStr">
        <is>
          <t>Baixa (0,201–0,300)</t>
        </is>
      </c>
      <c r="H17" s="10" t="inlineStr">
        <is>
          <t>Média (0,301–0,400)</t>
        </is>
      </c>
      <c r="I17" s="11" t="inlineStr">
        <is>
          <t>Alta (0,401–0,500)</t>
        </is>
      </c>
      <c r="J17" s="12" t="inlineStr">
        <is>
          <t>Muito alta (&gt; 0,500)</t>
        </is>
      </c>
      <c r="K17" s="6" t="inlineStr">
        <is>
          <t>Faixas do Ipea (conferir no Atlas)</t>
        </is>
      </c>
      <c r="L17" s="6" t="inlineStr">
        <is>
          <t>Plano B — só se o V3 não estiver disponível</t>
        </is>
      </c>
      <c r="M17" s="6" t="inlineStr">
        <is>
          <t>Ipea — Atlas da Vulnerabilidade Social (UDH)</t>
        </is>
      </c>
      <c r="N17" s="13" t="inlineStr">
        <is>
          <t>Pendente</t>
        </is>
      </c>
      <c r="O17" s="13" t="inlineStr">
        <is>
          <t>Pendente</t>
        </is>
      </c>
      <c r="P17" s="14" t="inlineStr">
        <is>
          <t>Base do Censo 2010.</t>
        </is>
      </c>
      <c r="Q17" s="6" t="inlineStr">
        <is>
          <t>Site confirmado na busca; faixas e ano-base a confirmar.</t>
        </is>
      </c>
    </row>
    <row r="18">
      <c r="A18" s="18" t="inlineStr">
        <is>
          <t>Impacto</t>
        </is>
      </c>
      <c r="B18" s="19" t="inlineStr">
        <is>
          <t>I1</t>
        </is>
      </c>
      <c r="C18" s="6" t="inlineStr">
        <is>
          <t>Mobilidade</t>
        </is>
      </c>
      <c r="D18" s="6" t="inlineStr">
        <is>
          <t>Classe da via mais importante afetada pelo alagamento; +1 se houver interdição registrada pela CTTU (máximo 5)</t>
        </is>
      </c>
      <c r="E18" s="7" t="inlineStr">
        <is>
          <t>Classe</t>
        </is>
      </c>
      <c r="F18" s="8" t="inlineStr">
        <is>
          <t>Via local ou de pedestres</t>
        </is>
      </c>
      <c r="G18" s="9" t="inlineStr">
        <is>
          <t>Coletora</t>
        </is>
      </c>
      <c r="H18" s="10" t="inlineStr">
        <is>
          <t>Arterial secundária</t>
        </is>
      </c>
      <c r="I18" s="11" t="inlineStr">
        <is>
          <t>Arterial principal</t>
        </is>
      </c>
      <c r="J18" s="12" t="inlineStr">
        <is>
          <t>Trânsito rápido ou corredor de ônibus</t>
        </is>
      </c>
      <c r="K18" s="6" t="inlineStr">
        <is>
          <t>Proposta Claude, a partir da classificação viária usada na planilha original</t>
        </is>
      </c>
      <c r="L18" s="6" t="inlineStr">
        <is>
          <t>Manter</t>
        </is>
      </c>
      <c r="M18" s="6" t="inlineStr">
        <is>
          <t>Hierarquia viária (ESIG / CTTU); OSM; paradas (Grande Recife); interdições (CTTU)</t>
        </is>
      </c>
      <c r="N18" s="13" t="inlineStr">
        <is>
          <t>Pendente</t>
        </is>
      </c>
      <c r="O18" s="13" t="inlineStr">
        <is>
          <t>Pendente</t>
        </is>
      </c>
      <c r="P18" s="14" t="inlineStr">
        <is>
          <t>Pedir a Antônio (CTTU): hierarquia viária, linhas e registro de interdições.</t>
        </is>
      </c>
      <c r="Q18" s="6" t="inlineStr">
        <is>
          <t>Vias no ESIG confirmadas na busca; ônibus e interdições não verificados.</t>
        </is>
      </c>
    </row>
    <row r="19">
      <c r="A19" s="18" t="inlineStr">
        <is>
          <t>Impacto</t>
        </is>
      </c>
      <c r="B19" s="19" t="inlineStr">
        <is>
          <t>I2</t>
        </is>
      </c>
      <c r="C19" s="6" t="inlineStr">
        <is>
          <t>Risco sanitário</t>
        </is>
      </c>
      <c r="D19" s="6" t="inlineStr">
        <is>
          <t>% de domicílios sem ligação à rede de esgoto nos setores do círculo</t>
        </is>
      </c>
      <c r="E19" s="7" t="inlineStr">
        <is>
          <t>Quintil</t>
        </is>
      </c>
      <c r="F19" s="8" t="inlineStr">
        <is>
          <t>Quintil 1 (20% menores)</t>
        </is>
      </c>
      <c r="G19" s="9" t="inlineStr">
        <is>
          <t>Quintil 2</t>
        </is>
      </c>
      <c r="H19" s="10" t="inlineStr">
        <is>
          <t>Quintil 3</t>
        </is>
      </c>
      <c r="I19" s="11" t="inlineStr">
        <is>
          <t>Quintil 4</t>
        </is>
      </c>
      <c r="J19" s="12" t="inlineStr">
        <is>
          <t>Quintil 5 (20% maiores)</t>
        </is>
      </c>
      <c r="K19" s="6" t="inlineStr">
        <is>
          <t>Proposta Claude (quintis)</t>
        </is>
      </c>
      <c r="L19" s="6" t="inlineStr">
        <is>
          <t>Manter</t>
        </is>
      </c>
      <c r="M19" s="6" t="inlineStr">
        <is>
          <t>IBGE — Agregados por setor 2022 (esgotamento); Compesa</t>
        </is>
      </c>
      <c r="N19" s="13" t="inlineStr">
        <is>
          <t>Pendente</t>
        </is>
      </c>
      <c r="O19" s="13" t="inlineStr">
        <is>
          <t>Pendente</t>
        </is>
      </c>
      <c r="P19" s="14" t="inlineStr">
        <is>
          <t>Quintis porque a cobertura de esgoto no Recife é baixa e faixas fixas podem saturar.</t>
        </is>
      </c>
      <c r="Q19" s="6" t="inlineStr">
        <is>
          <t>Esgotamento por setor confirmado na busca (não baixado).</t>
        </is>
      </c>
    </row>
    <row r="21">
      <c r="A21" s="20" t="inlineStr">
        <is>
          <t>Resumo</t>
        </is>
      </c>
      <c r="N21" s="21" t="inlineStr">
        <is>
          <t>Fonte confirmada</t>
        </is>
      </c>
      <c r="O21" s="21" t="inlineStr">
        <is>
          <t>Dado existe</t>
        </is>
      </c>
    </row>
    <row r="22">
      <c r="M22" s="22" t="inlineStr">
        <is>
          <t>Sim</t>
        </is>
      </c>
      <c r="N22" s="23">
        <f>COUNTIF(N$5:N$19,$M22)</f>
        <v/>
      </c>
      <c r="O22" s="23">
        <f>COUNTIF(O$5:O$19,$M22)</f>
        <v/>
      </c>
    </row>
    <row r="23">
      <c r="M23" s="22" t="inlineStr">
        <is>
          <t>Parcial</t>
        </is>
      </c>
      <c r="N23" s="23">
        <f>COUNTIF(N$5:N$19,$M23)</f>
        <v/>
      </c>
      <c r="O23" s="23">
        <f>COUNTIF(O$5:O$19,$M23)</f>
        <v/>
      </c>
    </row>
    <row r="24">
      <c r="M24" s="22" t="inlineStr">
        <is>
          <t>Não</t>
        </is>
      </c>
      <c r="N24" s="23">
        <f>COUNTIF(N$5:N$19,$M24)</f>
        <v/>
      </c>
      <c r="O24" s="23">
        <f>COUNTIF(O$5:O$19,$M24)</f>
        <v/>
      </c>
    </row>
    <row r="25">
      <c r="M25" s="22" t="inlineStr">
        <is>
          <t>Pendente</t>
        </is>
      </c>
      <c r="N25" s="23">
        <f>COUNTIF(N$5:N$19,$M25)</f>
        <v/>
      </c>
      <c r="O25" s="23">
        <f>COUNTIF(O$5:O$19,$M25)</f>
        <v/>
      </c>
    </row>
    <row r="26">
      <c r="M26" s="24" t="inlineStr">
        <is>
          <t>Subcritérios com fonte e dado confirmados</t>
        </is>
      </c>
      <c r="O26" s="25">
        <f>COUNTIFS(N5:N19,"Sim",O5:O19,"Sim")&amp;" de "&amp;ROWS(N5:N19)</f>
        <v/>
      </c>
    </row>
  </sheetData>
  <autoFilter ref="A4:Q19"/>
  <mergeCells count="1">
    <mergeCell ref="A2:Q2"/>
  </mergeCells>
  <conditionalFormatting sqref="N5:O19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N5:O19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26" t="inlineStr">
        <is>
          <t>Para quem não participou das discussões do modelo. Os papéis dos órgãos são uma leitura preliminar, ainda não confirmada com cada órgão.</t>
        </is>
      </c>
    </row>
    <row r="4">
      <c r="A4" s="27" t="inlineStr">
        <is>
          <t>Grupo</t>
        </is>
      </c>
      <c r="B4" s="27" t="inlineStr">
        <is>
          <t>Termo</t>
        </is>
      </c>
      <c r="C4" s="27" t="inlineStr">
        <is>
          <t>O que significa</t>
        </is>
      </c>
      <c r="D4" s="27" t="inlineStr">
        <is>
          <t>Exemplo no projeto</t>
        </is>
      </c>
    </row>
    <row r="5">
      <c r="A5" s="28" t="inlineStr">
        <is>
          <t>Modelo de risco</t>
        </is>
      </c>
      <c r="B5" s="29" t="inlineStr">
        <is>
          <t>Risco</t>
        </is>
      </c>
      <c r="C5" s="30" t="inlineStr">
        <is>
          <t>Medida de quão prioritário é um ponto para a prevenção. Calculado como Probabilidade × Consequência, numa escala de 1 a 25.</t>
        </is>
      </c>
      <c r="D5" s="30" t="inlineStr">
        <is>
          <t>Um ponto com Probabilidade 4 e Consequência 3 tem risco 12.</t>
        </is>
      </c>
    </row>
    <row r="6">
      <c r="A6" s="28" t="inlineStr">
        <is>
          <t>Modelo de risco</t>
        </is>
      </c>
      <c r="B6" s="29" t="inlineStr">
        <is>
          <t>Critério</t>
        </is>
      </c>
      <c r="C6" s="30" t="inlineStr">
        <is>
          <t>Um dos 4 grandes componentes do risco: Probabilidade, Exposição, Vulnerabilidade e Impacto.</t>
        </is>
      </c>
      <c r="D6" s="30" t="inlineStr">
        <is>
          <t>Vulnerabilidade é um critério.</t>
        </is>
      </c>
    </row>
    <row r="7">
      <c r="A7" s="28" t="inlineStr">
        <is>
          <t>Modelo de risco</t>
        </is>
      </c>
      <c r="B7" s="29" t="inlineStr">
        <is>
          <t>Subcritério</t>
        </is>
      </c>
      <c r="C7" s="30" t="inlineStr">
        <is>
          <t>Um item medível dentro de um critério. Cada subcritério recebe uma nota de 1 a 5.</t>
        </is>
      </c>
      <c r="D7" s="30" t="inlineStr">
        <is>
          <t>População (E1) é um subcritério da Exposição.</t>
        </is>
      </c>
    </row>
    <row r="8">
      <c r="A8" s="28" t="inlineStr">
        <is>
          <t>Modelo de risco</t>
        </is>
      </c>
      <c r="B8" s="29" t="inlineStr">
        <is>
          <t>Probabilidade</t>
        </is>
      </c>
      <c r="C8" s="30" t="inlineStr">
        <is>
          <t>Quanto e com que facilidade o ponto alaga: frequência, severidade, maré, proximidade de rio, impermeabilização.</t>
        </is>
      </c>
      <c r="D8" s="30" t="inlineStr">
        <is>
          <t>Um ponto que alaga 7 vezes por ano tem Frequência (P1) = 5.</t>
        </is>
      </c>
    </row>
    <row r="9">
      <c r="A9" s="28" t="inlineStr">
        <is>
          <t>Modelo de risco</t>
        </is>
      </c>
      <c r="B9" s="29" t="inlineStr">
        <is>
          <t>Exposição</t>
        </is>
      </c>
      <c r="C9" s="30" t="inlineStr">
        <is>
          <t>Quem e o que está no caminho da água dentro do círculo de 300 m: moradores, escolas, unidades de saúde, comércio.</t>
        </is>
      </c>
      <c r="D9" s="30" t="inlineStr">
        <is>
          <t>Um ponto com muitas escolas por perto tem Equipamentos sensíveis (E2) alto.</t>
        </is>
      </c>
    </row>
    <row r="10">
      <c r="A10" s="28" t="inlineStr">
        <is>
          <t>Modelo de risco</t>
        </is>
      </c>
      <c r="B10" s="29" t="inlineStr">
        <is>
          <t>Vulnerabilidade</t>
        </is>
      </c>
      <c r="C10" s="30" t="inlineStr">
        <is>
          <t>Quanto quem está ali tem dificuldade de lidar com o alagamento: idosos e crianças, favelas e comunidades, moradia térrea.</t>
        </is>
      </c>
      <c r="D10" s="30" t="inlineStr">
        <is>
          <t>Área com muitas casas térreas tem Tipo de moradia (V4) alto.</t>
        </is>
      </c>
    </row>
    <row r="11">
      <c r="A11" s="28" t="inlineStr">
        <is>
          <t>Modelo de risco</t>
        </is>
      </c>
      <c r="B11" s="29" t="inlineStr">
        <is>
          <t>Impacto</t>
        </is>
      </c>
      <c r="C11" s="30" t="inlineStr">
        <is>
          <t>Consequência que vai além do local: mobilidade da cidade e saúde pública (esgoto).</t>
        </is>
      </c>
      <c r="D11" s="30" t="inlineStr">
        <is>
          <t>Alagamento numa avenida arterial com ônibus tem Mobilidade (I1) alta.</t>
        </is>
      </c>
    </row>
    <row r="12">
      <c r="A12" s="28" t="inlineStr">
        <is>
          <t>Modelo de risco</t>
        </is>
      </c>
      <c r="B12" s="29" t="inlineStr">
        <is>
          <t>Consequência</t>
        </is>
      </c>
      <c r="C12" s="30" t="inlineStr">
        <is>
          <t>Média ponderada de Exposição, Vulnerabilidade e Impacto, de 1 a 5. É o que multiplica a Probabilidade.</t>
        </is>
      </c>
      <c r="D12" s="30" t="inlineStr">
        <is>
          <t>Exposição 4, Vulnerabilidade 2 e Impacto 3 com pesos iguais dão Consequência 3.</t>
        </is>
      </c>
    </row>
    <row r="13">
      <c r="A13" s="28" t="inlineStr">
        <is>
          <t>Modelo de risco</t>
        </is>
      </c>
      <c r="B13" s="29" t="inlineStr">
        <is>
          <t>Nota (1 a 5)</t>
        </is>
      </c>
      <c r="C13" s="30" t="inlineStr">
        <is>
          <t>Valor dado a cada subcritério. 5 = mais crítico, 1 = menos crítico.</t>
        </is>
      </c>
      <c r="D13" s="30" t="inlineStr">
        <is>
          <t>Nota 5 em Maré (P3) = o ponto alaga conforme a maré.</t>
        </is>
      </c>
    </row>
    <row r="14">
      <c r="A14" s="28" t="inlineStr">
        <is>
          <t>Modelo de risco</t>
        </is>
      </c>
      <c r="B14" s="29" t="inlineStr">
        <is>
          <t>Peso</t>
        </is>
      </c>
      <c r="C14" s="30" t="inlineStr">
        <is>
          <t>Importância relativa de um subcritério dentro do critério, ou de um critério dentro da Consequência. Definido pelo grupo. A Probabilidade não tem peso, porque multiplica.</t>
        </is>
      </c>
      <c r="D14" s="30" t="inlineStr">
        <is>
          <t>Frequência e Severidade terão peso maior que Proximidade de rio.</t>
        </is>
      </c>
    </row>
    <row r="15">
      <c r="A15" s="28" t="inlineStr">
        <is>
          <t>Modelo de risco</t>
        </is>
      </c>
      <c r="B15" s="29" t="inlineStr">
        <is>
          <t>Média ponderada</t>
        </is>
      </c>
      <c r="C15" s="30" t="inlineStr">
        <is>
          <t>Média em que cada item conta conforme o seu peso.</t>
        </is>
      </c>
      <c r="D15" s="30" t="inlineStr">
        <is>
          <t>Notas 5 (peso 2) e 2 (peso 1): (5×2 + 2×1) ÷ 3 = 4.</t>
        </is>
      </c>
    </row>
    <row r="16">
      <c r="A16" s="28" t="inlineStr">
        <is>
          <t>Modelo de risco</t>
        </is>
      </c>
      <c r="B16" s="29" t="inlineStr">
        <is>
          <t>Cobertura</t>
        </is>
      </c>
      <c r="C16" s="30" t="inlineStr">
        <is>
          <t>Quantos subcritérios têm nota para o ponto. Nota faltante não vira zero nem média: fica de fora e a cobertura mostra a falta.</t>
        </is>
      </c>
      <c r="D16" s="30" t="inlineStr">
        <is>
          <t>Cobertura 11/13 = faltam 2 notas para aquele ponto.</t>
        </is>
      </c>
    </row>
    <row r="17">
      <c r="A17" s="28" t="inlineStr">
        <is>
          <t>Modelo de risco</t>
        </is>
      </c>
      <c r="B17" s="29" t="inlineStr">
        <is>
          <t>Sem Probabilidade, sem risco</t>
        </is>
      </c>
      <c r="C17" s="30" t="inlineStr">
        <is>
          <t>Como o risco é uma multiplicação, um ponto sem nota de Probabilidade não tem risco calculado nem posição no ranking.</t>
        </is>
      </c>
      <c r="D17" s="30" t="inlineStr">
        <is>
          <t>Por isso a ficha com a EMLURB é prioritária.</t>
        </is>
      </c>
    </row>
    <row r="18">
      <c r="A18" s="28" t="inlineStr">
        <is>
          <t>Modelo de risco</t>
        </is>
      </c>
      <c r="B18" s="29" t="inlineStr">
        <is>
          <t>Tratabilidade</t>
        </is>
      </c>
      <c r="C18" s="30" t="inlineStr">
        <is>
          <t>Se é fácil agir no ponto (governança, natureza da causa, obra ou orçamento em andamento). Fica FORA do risco. 5 = mais fácil.</t>
        </is>
      </c>
      <c r="D18" s="30" t="inlineStr">
        <is>
          <t>Ponto com dono definido e causa de manutenção tem tratabilidade alta.</t>
        </is>
      </c>
    </row>
    <row r="19">
      <c r="A19" s="28" t="inlineStr">
        <is>
          <t>Modelo de risco</t>
        </is>
      </c>
      <c r="B19" s="29" t="inlineStr">
        <is>
          <t>Matriz risco × tratabilidade</t>
        </is>
      </c>
      <c r="C19" s="30" t="inlineStr">
        <is>
          <t>Cruza o risco (corte em 9) com a tratabilidade (corte em 3) e coloca cada ponto num de 4 quadrantes.</t>
        </is>
      </c>
      <c r="D19" s="30" t="inlineStr">
        <is>
          <t>Risco 12 e tratabilidade 4 = quadrante Agir já.</t>
        </is>
      </c>
    </row>
    <row r="20">
      <c r="A20" s="28" t="inlineStr">
        <is>
          <t>Modelo de risco</t>
        </is>
      </c>
      <c r="B20" s="29" t="inlineStr">
        <is>
          <t>Agir já / Estruturar / Oportunidade / Monitorar</t>
        </is>
      </c>
      <c r="C20" s="30" t="inlineStr">
        <is>
          <t>Quadrantes da matriz. Agir já: risco alto, fácil de agir. Estruturar: risco alto, difícil (exige articulação). Oportunidade: risco baixo, fácil. Monitorar: risco baixo, difícil.</t>
        </is>
      </c>
      <c r="D20" s="30" t="inlineStr"/>
    </row>
    <row r="21">
      <c r="A21" s="28" t="inlineStr">
        <is>
          <t>Modelo de risco</t>
        </is>
      </c>
      <c r="B21" s="29" t="inlineStr">
        <is>
          <t>Diagnóstico de causa</t>
        </is>
      </c>
      <c r="C21" s="30" t="inlineStr">
        <is>
          <t>Por que o ponto alaga (drenagem obstruída, subdimensionada, maré, esgoto). Fica fora do risco e indica qual órgão age.</t>
        </is>
      </c>
      <c r="D21" s="30" t="inlineStr">
        <is>
          <t>Galeria assoreada → EMLURB (manutenção).</t>
        </is>
      </c>
    </row>
    <row r="22">
      <c r="A22" s="28" t="inlineStr">
        <is>
          <t>Modelo de risco</t>
        </is>
      </c>
      <c r="B22" s="29" t="inlineStr">
        <is>
          <t>Análise de sensibilidade</t>
        </is>
      </c>
      <c r="C22" s="30" t="inlineStr">
        <is>
          <t>Recalcular o ranking com outros pesos (ex.: pesos iguais) para ver se o resultado depende demais dos pesos escolhidos.</t>
        </is>
      </c>
      <c r="D22" s="30" t="inlineStr">
        <is>
          <t>Se o top 5 muda muito, avisar a alta gestão.</t>
        </is>
      </c>
    </row>
    <row r="23">
      <c r="A23" s="31" t="inlineStr">
        <is>
          <t>Tipo de nota</t>
        </is>
      </c>
      <c r="B23" s="29" t="inlineStr">
        <is>
          <t>Faixa fixa</t>
        </is>
      </c>
      <c r="C23" s="30" t="inlineStr">
        <is>
          <t>O valor medido cai numa faixa definida antes da coleta. A nota não depende dos outros pontos.</t>
        </is>
      </c>
      <c r="D23" s="30" t="inlineStr">
        <is>
          <t>P1: 5 alagamentos/ano cai em '5–6' = nota 4.</t>
        </is>
      </c>
    </row>
    <row r="24">
      <c r="A24" s="31" t="inlineStr">
        <is>
          <t>Tipo de nota</t>
        </is>
      </c>
      <c r="B24" s="29" t="inlineStr">
        <is>
          <t>Classe</t>
        </is>
      </c>
      <c r="C24" s="30" t="inlineStr">
        <is>
          <t>O ponto é encaixado numa categoria descritiva, não num número.</t>
        </is>
      </c>
      <c r="D24" s="30" t="inlineStr">
        <is>
          <t>P3: 'agrava ocasionalmente' = nota 3.</t>
        </is>
      </c>
    </row>
    <row r="25">
      <c r="A25" s="31" t="inlineStr">
        <is>
          <t>Tipo de nota</t>
        </is>
      </c>
      <c r="B25" s="29" t="inlineStr">
        <is>
          <t>Quintil</t>
        </is>
      </c>
      <c r="C25" s="30" t="inlineStr">
        <is>
          <t>Nota relativa entre os 21 pontos: os valores são ordenados e divididos em 5 grupos de ~4 pontos. Os 20% menores recebem 1; os 20% maiores, 5.</t>
        </is>
      </c>
      <c r="D25" s="30" t="inlineStr">
        <is>
          <t>E1: os ~4 pontos com mais moradores recebem nota 5.</t>
        </is>
      </c>
    </row>
    <row r="26">
      <c r="A26" s="31" t="inlineStr">
        <is>
          <t>Tipo de nota</t>
        </is>
      </c>
      <c r="B26" s="29" t="inlineStr">
        <is>
          <t>Quintil invertido</t>
        </is>
      </c>
      <c r="C26" s="30" t="inlineStr">
        <is>
          <t>Igual ao quintil, mas o MENOR valor recebe a nota mais alta.</t>
        </is>
      </c>
      <c r="D26" s="30" t="inlineStr">
        <is>
          <t>P4: o ponto mais perto do rio recebe nota 5.</t>
        </is>
      </c>
    </row>
    <row r="27">
      <c r="A27" s="31" t="inlineStr">
        <is>
          <t>Tipo de nota</t>
        </is>
      </c>
      <c r="B27" s="29" t="inlineStr">
        <is>
          <t>Faixa provisória</t>
        </is>
      </c>
      <c r="C27" s="30" t="inlineStr">
        <is>
          <t>Faixa proposta antes de ver os dados reais. Deve ser calibrada quando os dados chegarem.</t>
        </is>
      </c>
      <c r="D27" s="30" t="inlineStr">
        <is>
          <t>Se todos os pontos caírem na mesma faixa, ela precisa ser ajustada.</t>
        </is>
      </c>
    </row>
    <row r="28">
      <c r="A28" s="31" t="inlineStr">
        <is>
          <t>Tipo de nota</t>
        </is>
      </c>
      <c r="B28" s="29" t="inlineStr">
        <is>
          <t>Origem da faixa</t>
        </is>
      </c>
      <c r="C28" s="30" t="inlineStr">
        <is>
          <t>De onde veio a escala: planilha original da equipe, referência oficial (ex.: Ipea) ou proposta do Claude (a revisar pelo grupo).</t>
        </is>
      </c>
      <c r="D28" s="30" t="inlineStr"/>
    </row>
    <row r="29">
      <c r="A29" s="32" t="inlineStr">
        <is>
          <t>Território e SIG</t>
        </is>
      </c>
      <c r="B29" s="29" t="inlineStr">
        <is>
          <t>Ponto crítico</t>
        </is>
      </c>
      <c r="C29" s="30" t="inlineStr">
        <is>
          <t>Local da lista da EMLURB onde há alagamento recorrente. Pode ser um ponto, um trecho de rua ou vários trechos.</t>
        </is>
      </c>
      <c r="D29" s="30" t="inlineStr">
        <is>
          <t>Ponto 24 — Ipsep, Rua Blumenau (até a maré).</t>
        </is>
      </c>
    </row>
    <row r="30">
      <c r="A30" s="32" t="inlineStr">
        <is>
          <t>Território e SIG</t>
        </is>
      </c>
      <c r="B30" s="29" t="inlineStr">
        <is>
          <t>Trecho (Linha / Vários)</t>
        </is>
      </c>
      <c r="C30" s="30" t="inlineStr">
        <is>
          <t>Ponto crítico que é uma extensão de rua, não um local único. 12 dos 21 pontos são trechos.</t>
        </is>
      </c>
      <c r="D30" s="30" t="inlineStr">
        <is>
          <t>Ponto 11 — Rua Professor José Brandão (toda a extensão).</t>
        </is>
      </c>
    </row>
    <row r="31">
      <c r="A31" s="32" t="inlineStr">
        <is>
          <t>Território e SIG</t>
        </is>
      </c>
      <c r="B31" s="29" t="inlineStr">
        <is>
          <t>RPA 6</t>
        </is>
      </c>
      <c r="C31" s="30" t="inlineStr">
        <is>
          <t>Região Político-Administrativa 6 do Recife (Boa Viagem, Pina, Imbiribeira, Ipsep, Ibura, Jordão, entre outros bairros). Escopo do piloto.</t>
        </is>
      </c>
      <c r="D31" s="30" t="inlineStr"/>
    </row>
    <row r="32">
      <c r="A32" s="32" t="inlineStr">
        <is>
          <t>Território e SIG</t>
        </is>
      </c>
      <c r="B32" s="29" t="inlineStr">
        <is>
          <t>SIG</t>
        </is>
      </c>
      <c r="C32" s="30" t="inlineStr">
        <is>
          <t>Sistema de Informação Geográfica: programa para mapas e cálculos espaciais. Usamos o ArcGIS Pro.</t>
        </is>
      </c>
      <c r="D32" s="30" t="inlineStr"/>
    </row>
    <row r="33">
      <c r="A33" s="32" t="inlineStr">
        <is>
          <t>Território e SIG</t>
        </is>
      </c>
      <c r="B33" s="29" t="inlineStr">
        <is>
          <t>Círculo de 300 m (buffer)</t>
        </is>
      </c>
      <c r="C33" s="30" t="inlineStr">
        <is>
          <t>Área de 300 m em volta do ponto (ou da linha do trecho) onde se medem os subcritérios do SIG. Usado no cálculo do risco.</t>
        </is>
      </c>
      <c r="D33" s="30" t="inlineStr">
        <is>
          <t>Moradores dentro do círculo = População (E1).</t>
        </is>
      </c>
    </row>
    <row r="34">
      <c r="A34" s="32" t="inlineStr">
        <is>
          <t>Território e SIG</t>
        </is>
      </c>
      <c r="B34" s="29" t="inlineStr">
        <is>
          <t>Área de influência de 1 km</t>
        </is>
      </c>
      <c r="C34" s="30" t="inlineStr">
        <is>
          <t>Círculo de 1 km mostrado no painel só como informação. Não entra no cálculo, porque com 1 km quase todos os pontos se sobrepõem.</t>
        </is>
      </c>
      <c r="D34" s="30" t="inlineStr"/>
    </row>
    <row r="35">
      <c r="A35" s="32" t="inlineStr">
        <is>
          <t>Território e SIG</t>
        </is>
      </c>
      <c r="B35" s="29" t="inlineStr">
        <is>
          <t>Grupo de sobreposição (G1–G5)</t>
        </is>
      </c>
      <c r="C35" s="30" t="inlineStr">
        <is>
          <t>Pontos cujos círculos de 300 m se sobrepõem. Nesses grupos os subcritérios do SIG tendem a dar notas parecidas.</t>
        </is>
      </c>
      <c r="D35" s="30" t="inlineStr">
        <is>
          <t>G1 = pontos 5, 6, 7, 11 e 12 (Conselheiro Aguiar).</t>
        </is>
      </c>
    </row>
    <row r="36">
      <c r="A36" s="32" t="inlineStr">
        <is>
          <t>Território e SIG</t>
        </is>
      </c>
      <c r="B36" s="29" t="inlineStr">
        <is>
          <t>Ponderação por área</t>
        </is>
      </c>
      <c r="C36" s="30" t="inlineStr">
        <is>
          <t>Quando uma área de dados (setor, célula) corta o círculo, conta só a parte que fica dentro dele.</t>
        </is>
      </c>
      <c r="D36" s="30" t="inlineStr">
        <is>
          <t>Setor com 40% da área no círculo contribui com 40% da população.</t>
        </is>
      </c>
    </row>
    <row r="37">
      <c r="A37" s="32" t="inlineStr">
        <is>
          <t>Território e SIG</t>
        </is>
      </c>
      <c r="B37" s="29" t="inlineStr">
        <is>
          <t>EPSG:31985 (SIRGAS 2000 / UTM 25S)</t>
        </is>
      </c>
      <c r="C37" s="30" t="inlineStr">
        <is>
          <t>Sistema de coordenadas usado no projeto. Todas as camadas precisam estar nele antes dos cálculos.</t>
        </is>
      </c>
      <c r="D37" s="30" t="inlineStr"/>
    </row>
    <row r="38">
      <c r="A38" s="32" t="inlineStr">
        <is>
          <t>Território e SIG</t>
        </is>
      </c>
      <c r="B38" s="29" t="inlineStr">
        <is>
          <t>Coordenada aproximada / verificada</t>
        </is>
      </c>
      <c r="C38" s="30" t="inlineStr">
        <is>
          <t>Aproximada = localizada automaticamente e ainda não conferida. Verificada = conferida com a EMLURB ou por imagem de satélite.</t>
        </is>
      </c>
      <c r="D38" s="30" t="inlineStr">
        <is>
          <t>Hoje nenhuma das 21 coordenadas está verificada.</t>
        </is>
      </c>
    </row>
    <row r="39">
      <c r="A39" s="32" t="inlineStr">
        <is>
          <t>Território e SIG</t>
        </is>
      </c>
      <c r="B39" s="29" t="inlineStr">
        <is>
          <t>Bacia / sub-bacia</t>
        </is>
      </c>
      <c r="C39" s="30" t="inlineStr">
        <is>
          <t>Área que drena para um mesmo rio ou canal. Hierarquia do Plano de Drenagem: Bacia → Sub-bacia → Ponto crítico → Obra.</t>
        </is>
      </c>
      <c r="D39" s="30" t="inlineStr">
        <is>
          <t>Usada para ligar obras aos pontos.</t>
        </is>
      </c>
    </row>
    <row r="40">
      <c r="A40" s="32" t="inlineStr">
        <is>
          <t>Território e SIG</t>
        </is>
      </c>
      <c r="B40" s="29" t="inlineStr">
        <is>
          <t>Shapefile / GeoJSON</t>
        </is>
      </c>
      <c r="C40" s="30" t="inlineStr">
        <is>
          <t>Formatos de arquivo de mapa que o ArcGIS abre.</t>
        </is>
      </c>
      <c r="D40" s="30" t="inlineStr">
        <is>
          <t>dados/processados/pontos_rpa6.geojson tem os 21 pontos.</t>
        </is>
      </c>
    </row>
    <row r="41">
      <c r="A41" s="33" t="inlineStr">
        <is>
          <t>Fontes de dados</t>
        </is>
      </c>
      <c r="B41" s="29" t="inlineStr">
        <is>
          <t>Censo 2022 (IBGE)</t>
        </is>
      </c>
      <c r="C41" s="30" t="inlineStr">
        <is>
          <t>Recenseamento de 2022. Fonte de população, idade, tipo de domicílio e esgotamento.</t>
        </is>
      </c>
      <c r="D41" s="30" t="inlineStr"/>
    </row>
    <row r="42">
      <c r="A42" s="33" t="inlineStr">
        <is>
          <t>Fontes de dados</t>
        </is>
      </c>
      <c r="B42" s="29" t="inlineStr">
        <is>
          <t>Setor censitário</t>
        </is>
      </c>
      <c r="C42" s="30" t="inlineStr">
        <is>
          <t>Menor área de divulgação do Censo (no Recife adensado, poucos quarteirões).</t>
        </is>
      </c>
      <c r="D42" s="30" t="inlineStr"/>
    </row>
    <row r="43">
      <c r="A43" s="33" t="inlineStr">
        <is>
          <t>Fontes de dados</t>
        </is>
      </c>
      <c r="B43" s="29" t="inlineStr">
        <is>
          <t>Grade Estatística (IBGE)</t>
        </is>
      </c>
      <c r="C43" s="30" t="inlineStr">
        <is>
          <t>Malha de quadrados de 200 × 200 m (área urbana) com a população do Censo 2022.</t>
        </is>
      </c>
      <c r="D43" s="30" t="inlineStr">
        <is>
          <t>Fonte do E1.</t>
        </is>
      </c>
    </row>
    <row r="44">
      <c r="A44" s="33" t="inlineStr">
        <is>
          <t>Fontes de dados</t>
        </is>
      </c>
      <c r="B44" s="29" t="inlineStr">
        <is>
          <t>CNEFE (IBGE)</t>
        </is>
      </c>
      <c r="C44" s="30" t="inlineStr">
        <is>
          <t>Cadastro de endereços do Censo 2022, com coordenada e tipo de uso (domicílio, ensino, saúde, outras finalidades).</t>
        </is>
      </c>
      <c r="D44" s="30" t="inlineStr">
        <is>
          <t>Fonte do E2 e do E3.</t>
        </is>
      </c>
    </row>
    <row r="45">
      <c r="A45" s="33" t="inlineStr">
        <is>
          <t>Fontes de dados</t>
        </is>
      </c>
      <c r="B45" s="29" t="inlineStr">
        <is>
          <t>Favelas e Comunidades Urbanas (IBGE)</t>
        </is>
      </c>
      <c r="C45" s="30" t="inlineStr">
        <is>
          <t>Mapeamento do IBGE das favelas e comunidades urbanas no Censo 2022. Publicação da malha ainda não confirmada.</t>
        </is>
      </c>
      <c r="D45" s="30" t="inlineStr">
        <is>
          <t>Fonte do V3.</t>
        </is>
      </c>
    </row>
    <row r="46">
      <c r="A46" s="33" t="inlineStr">
        <is>
          <t>Fontes de dados</t>
        </is>
      </c>
      <c r="B46" s="29" t="inlineStr">
        <is>
          <t>IVS (Ipea)</t>
        </is>
      </c>
      <c r="C46" s="30" t="inlineStr">
        <is>
          <t>Índice de Vulnerabilidade Social do Ipea, de 0 a 1 (quanto maior, mais vulnerável). Base do Censo 2010.</t>
        </is>
      </c>
      <c r="D46" s="30" t="inlineStr">
        <is>
          <t>Plano B do V3.</t>
        </is>
      </c>
    </row>
    <row r="47">
      <c r="A47" s="33" t="inlineStr">
        <is>
          <t>Fontes de dados</t>
        </is>
      </c>
      <c r="B47" s="29" t="inlineStr">
        <is>
          <t>UDH</t>
        </is>
      </c>
      <c r="C47" s="30" t="inlineStr">
        <is>
          <t>Unidade de Desenvolvimento Humano: área usada pelo Ipea, maior que o setor censitário.</t>
        </is>
      </c>
      <c r="D47" s="30" t="inlineStr"/>
    </row>
    <row r="48">
      <c r="A48" s="33" t="inlineStr">
        <is>
          <t>Fontes de dados</t>
        </is>
      </c>
      <c r="B48" s="29" t="inlineStr">
        <is>
          <t>MapBiomas</t>
        </is>
      </c>
      <c r="C48" s="30" t="inlineStr">
        <is>
          <t>Mapa de cobertura do solo (vegetação, área construída etc.) com pixels de 30 m. Não verificado.</t>
        </is>
      </c>
      <c r="D48" s="30" t="inlineStr">
        <is>
          <t>Fonte do P5.</t>
        </is>
      </c>
    </row>
    <row r="49">
      <c r="A49" s="33" t="inlineStr">
        <is>
          <t>Fontes de dados</t>
        </is>
      </c>
      <c r="B49" s="29" t="inlineStr">
        <is>
          <t>ESIG</t>
        </is>
      </c>
      <c r="C49" s="30" t="inlineStr">
        <is>
          <t>Sistema de informações geográficas da Prefeitura do Recife (vias, lotes, edificações, recursos hídricos).</t>
        </is>
      </c>
      <c r="D49" s="30" t="inlineStr"/>
    </row>
    <row r="50">
      <c r="A50" s="33" t="inlineStr">
        <is>
          <t>Fontes de dados</t>
        </is>
      </c>
      <c r="B50" s="29" t="inlineStr">
        <is>
          <t>CNES / DATASUS</t>
        </is>
      </c>
      <c r="C50" s="30" t="inlineStr">
        <is>
          <t>Cadastro Nacional de Estabelecimentos de Saúde.</t>
        </is>
      </c>
      <c r="D50" s="30" t="inlineStr">
        <is>
          <t>Complementa o E2.</t>
        </is>
      </c>
    </row>
    <row r="51">
      <c r="A51" s="33" t="inlineStr">
        <is>
          <t>Fontes de dados</t>
        </is>
      </c>
      <c r="B51" s="29" t="inlineStr">
        <is>
          <t>APAC / Cemaden</t>
        </is>
      </c>
      <c r="C51" s="30" t="inlineStr">
        <is>
          <t>Agência Pernambucana de Águas e Clima / Centro Nacional de Monitoramento de Desastres: dados de chuva e marés.</t>
        </is>
      </c>
      <c r="D51" s="30" t="inlineStr"/>
    </row>
    <row r="52">
      <c r="A52" s="33" t="inlineStr">
        <is>
          <t>Fontes de dados</t>
        </is>
      </c>
      <c r="B52" s="29" t="inlineStr">
        <is>
          <t>PMDR</t>
        </is>
      </c>
      <c r="C52" s="30" t="inlineStr">
        <is>
          <t>Plano Municipal de Drenagem do Recife. Define bacias e sub-bacias.</t>
        </is>
      </c>
      <c r="D52" s="30" t="inlineStr"/>
    </row>
    <row r="53">
      <c r="A53" s="33" t="inlineStr">
        <is>
          <t>Fontes de dados</t>
        </is>
      </c>
      <c r="B53" s="29" t="inlineStr">
        <is>
          <t>Ficha EMLURB</t>
        </is>
      </c>
      <c r="C53" s="30" t="inlineStr">
        <is>
          <t>Formulário a ser preenchido com a EMLURB, com uma linha por ponto: localização, frequência, severidade, maré e obras ligadas.</t>
        </is>
      </c>
      <c r="D53" s="30" t="inlineStr">
        <is>
          <t>Fonte provisória de P1, P2 e P3.</t>
        </is>
      </c>
    </row>
    <row r="54">
      <c r="A54" s="34" t="inlineStr">
        <is>
          <t>Checklist</t>
        </is>
      </c>
      <c r="B54" s="29" t="inlineStr">
        <is>
          <t>Recomendação</t>
        </is>
      </c>
      <c r="C54" s="30" t="inlineStr">
        <is>
          <t>Manter = entra no modelo. Condicional = só entra se o dado existir. Plano B = usado só se outro subcritério falhar. Peso alto / menor = sugestão para a definição dos pesos.</t>
        </is>
      </c>
      <c r="D54" s="30" t="inlineStr"/>
    </row>
    <row r="55">
      <c r="A55" s="34" t="inlineStr">
        <is>
          <t>Checklist</t>
        </is>
      </c>
      <c r="B55" s="29" t="inlineStr">
        <is>
          <t>Fonte confirmada?</t>
        </is>
      </c>
      <c r="C55" s="30" t="inlineStr">
        <is>
          <t>A base de dados existe e a equipe consegue acessá-la (download ou pedido atendido).</t>
        </is>
      </c>
      <c r="D55" s="30" t="inlineStr"/>
    </row>
    <row r="56">
      <c r="A56" s="34" t="inlineStr">
        <is>
          <t>Checklist</t>
        </is>
      </c>
      <c r="B56" s="29" t="inlineStr">
        <is>
          <t>Dado existe na fonte?</t>
        </is>
      </c>
      <c r="C56" s="30" t="inlineStr">
        <is>
          <t>A variável necessária está na base, na escala do círculo de 300 m, e cobre os 21 pontos.</t>
        </is>
      </c>
      <c r="D56" s="30" t="inlineStr">
        <is>
          <t>O IBGE existe (fonte confirmada), mas falta checar se o tipo de domicílio vem por setor.</t>
        </is>
      </c>
    </row>
    <row r="57">
      <c r="A57" s="34" t="inlineStr">
        <is>
          <t>Checklist</t>
        </is>
      </c>
      <c r="B57" s="29" t="inlineStr">
        <is>
          <t>Sim / Parcial / Não / Pendente</t>
        </is>
      </c>
      <c r="C57" s="30" t="inlineStr">
        <is>
          <t>Sim = confirmado. Parcial = existe, mas com limitação (escala, cobertura, data). Não = não existe ou não é acessível. Pendente = ainda não checado.</t>
        </is>
      </c>
      <c r="D57" s="30" t="inlineStr"/>
    </row>
    <row r="58">
      <c r="A58" s="34" t="inlineStr">
        <is>
          <t>Checklist</t>
        </is>
      </c>
      <c r="B58" s="29" t="inlineStr">
        <is>
          <t>Busca prévia (Claude)</t>
        </is>
      </c>
      <c r="C58" s="30" t="inlineStr">
        <is>
          <t>O que foi encontrado em busca na internet. 'Confirmado na busca' = a base aparece como publicada, mas o arquivo não foi aberto.</t>
        </is>
      </c>
      <c r="D58" s="30" t="inlineStr"/>
    </row>
    <row r="59">
      <c r="A59" s="35" t="inlineStr">
        <is>
          <t>Órgãos</t>
        </is>
      </c>
      <c r="B59" s="29" t="inlineStr">
        <is>
          <t>COP</t>
        </is>
      </c>
      <c r="C59" s="30" t="inlineStr">
        <is>
          <t>Centro de Operações do Recife: monitoramento e resposta aos eventos.</t>
        </is>
      </c>
      <c r="D59" s="30" t="inlineStr"/>
    </row>
    <row r="60">
      <c r="A60" s="35" t="inlineStr">
        <is>
          <t>Órgãos</t>
        </is>
      </c>
      <c r="B60" s="29" t="inlineStr">
        <is>
          <t>EMLURB</t>
        </is>
      </c>
      <c r="C60" s="30" t="inlineStr">
        <is>
          <t>Empresa de Manutenção e Limpeza Urbana: manutenção da drenagem e lista de pontos críticos.</t>
        </is>
      </c>
      <c r="D60" s="30" t="inlineStr"/>
    </row>
    <row r="61">
      <c r="A61" s="35" t="inlineStr">
        <is>
          <t>Órgãos</t>
        </is>
      </c>
      <c r="B61" s="29" t="inlineStr">
        <is>
          <t>Defesa Civil (Sedec)</t>
        </is>
      </c>
      <c r="C61" s="30" t="inlineStr">
        <is>
          <t>Áreas de risco, alertas e vistorias.</t>
        </is>
      </c>
      <c r="D61" s="30" t="inlineStr"/>
    </row>
    <row r="62">
      <c r="A62" s="35" t="inlineStr">
        <is>
          <t>Órgãos</t>
        </is>
      </c>
      <c r="B62" s="29" t="inlineStr">
        <is>
          <t>URB</t>
        </is>
      </c>
      <c r="C62" s="30" t="inlineStr">
        <is>
          <t>Autarquia de Urbanização do Recife: obras urbanas e de drenagem.</t>
        </is>
      </c>
      <c r="D62" s="30" t="inlineStr"/>
    </row>
    <row r="63">
      <c r="A63" s="35" t="inlineStr">
        <is>
          <t>Órgãos</t>
        </is>
      </c>
      <c r="B63" s="29" t="inlineStr">
        <is>
          <t>CTTU</t>
        </is>
      </c>
      <c r="C63" s="30" t="inlineStr">
        <is>
          <t>Autarquia de Trânsito e Transporte Urbano: trânsito, vias e interdições.</t>
        </is>
      </c>
      <c r="D63" s="30" t="inlineStr"/>
    </row>
    <row r="64">
      <c r="A64" s="35" t="inlineStr">
        <is>
          <t>Órgãos</t>
        </is>
      </c>
      <c r="B64" s="29" t="inlineStr">
        <is>
          <t>Compesa</t>
        </is>
      </c>
      <c r="C64" s="30" t="inlineStr">
        <is>
          <t>Companhia Pernambucana de Saneamento: água e esgoto.</t>
        </is>
      </c>
      <c r="D64" s="30" t="inlineStr"/>
    </row>
    <row r="65">
      <c r="A65" s="35" t="inlineStr">
        <is>
          <t>Órgãos</t>
        </is>
      </c>
      <c r="B65" s="29" t="inlineStr">
        <is>
          <t>ProMorar</t>
        </is>
      </c>
      <c r="C65" s="30" t="inlineStr">
        <is>
          <t>Programa de urbanização de comunidades.</t>
        </is>
      </c>
      <c r="D65" s="30" t="inlineStr"/>
    </row>
    <row r="66">
      <c r="A66" s="35" t="inlineStr">
        <is>
          <t>Órgãos</t>
        </is>
      </c>
      <c r="B66" s="29" t="inlineStr">
        <is>
          <t>SEPLAG / SEPLAN</t>
        </is>
      </c>
      <c r="C66" s="30" t="inlineStr">
        <is>
          <t>Planejamento e gestão. A SEPLAN não é a SEPLAG; o papel dela no projeto ainda será definido.</t>
        </is>
      </c>
      <c r="D66" s="30" t="inlineStr"/>
    </row>
    <row r="67">
      <c r="A67" s="35" t="inlineStr">
        <is>
          <t>Órgãos</t>
        </is>
      </c>
      <c r="B67" s="29" t="inlineStr">
        <is>
          <t>Grande Recife Consórcio</t>
        </is>
      </c>
      <c r="C67" s="30" t="inlineStr">
        <is>
          <t>Consórcio de transporte metropolitano: linhas e paradas de ônibus.</t>
        </is>
      </c>
      <c r="D67" s="30" t="inlineStr"/>
    </row>
  </sheetData>
  <autoFilter ref="A4:D67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2026-10-02T16:32:41Z</dcterms:created>
  <dcterms:modified xsi:type="dcterms:W3CDTF">2026-10-02T16:32:42Z</dcterms:modified>
</cp:coreProperties>
</file>