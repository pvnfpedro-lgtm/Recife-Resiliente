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subcritérios'!$A$4:$Q$19</definedName>
    <definedName name="_xlnm._FilterDatabase" localSheetId="2" hidden="1">'Glossário'!$A$4:$D$67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4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Subcritérios, notas, fontes e checklist dos dados (RPA 6)</t>
        </is>
      </c>
    </row>
    <row r="2" ht="44" customHeight="1">
      <c r="A2" s="2" t="inlineStr">
        <is>
          <t>Proposta de 02/10/2026 (Pedro + Claude), não validada pelo grupo.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de alagamento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Baixio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ESIG (curvas de nível, a verificar); topografia da Prefeitura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</t>
        </is>
      </c>
      <c r="Q10" s="6" t="inlineStr">
        <is>
          <t>Não encontrado modelo de terreno público na busca.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sensíveis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Calibrar com as contagens reais. Conferir se creches aparecem como 'ensino'.</t>
        </is>
      </c>
      <c r="Q12" s="6" t="inlineStr">
        <is>
          <t>CNEFE confirmado na busca (não baixado).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Atividade econômica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Grupos sensíveis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Favelas e comunidades urbanas</t>
        </is>
      </c>
      <c r="D15" s="6" t="inlineStr">
        <is>
          <t>% da área do círculo em favelas e comunidades urbanas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</t>
        </is>
      </c>
      <c r="Q15" s="6" t="inlineStr">
        <is>
          <t>Não verificado.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V1</t>
        </is>
      </c>
      <c r="C17" s="6" t="inlineStr">
        <is>
          <t>Vulnerabilidade social (IVS)</t>
        </is>
      </c>
      <c r="D17" s="6" t="inlineStr">
        <is>
          <t>Maior IVS entre as UDHs que tocam o círculo</t>
        </is>
      </c>
      <c r="E17" s="7" t="inlineStr">
        <is>
          <t>Faixa fixa</t>
        </is>
      </c>
      <c r="F17" s="8" t="inlineStr">
        <is>
          <t>Muito baixa (0–0,200)</t>
        </is>
      </c>
      <c r="G17" s="9" t="inlineStr">
        <is>
          <t>Baixa (0,201–0,300)</t>
        </is>
      </c>
      <c r="H17" s="10" t="inlineStr">
        <is>
          <t>Média (0,301–0,400)</t>
        </is>
      </c>
      <c r="I17" s="11" t="inlineStr">
        <is>
          <t>Alta (0,401–0,500)</t>
        </is>
      </c>
      <c r="J17" s="12" t="inlineStr">
        <is>
          <t>Muito alta (&gt; 0,500)</t>
        </is>
      </c>
      <c r="K17" s="6" t="inlineStr">
        <is>
          <t>Faixas do Ipea (conferir no Atlas)</t>
        </is>
      </c>
      <c r="L17" s="6" t="inlineStr">
        <is>
          <t>Plano B — só se o V3 não estiver disponível</t>
        </is>
      </c>
      <c r="M17" s="6" t="inlineStr">
        <is>
          <t>Ipea — Atlas da Vulnerabilidade Social (UDH)</t>
        </is>
      </c>
      <c r="N17" s="13" t="inlineStr">
        <is>
          <t>Pendente</t>
        </is>
      </c>
      <c r="O17" s="13" t="inlineStr">
        <is>
          <t>Pendente</t>
        </is>
      </c>
      <c r="P17" s="14" t="inlineStr">
        <is>
          <t>Base do Censo 2010.</t>
        </is>
      </c>
      <c r="Q17" s="6" t="inlineStr">
        <is>
          <t>Site confirmado na busca; faixas e ano-base a confirmar.</t>
        </is>
      </c>
    </row>
    <row r="18">
      <c r="A18" s="18" t="inlineStr">
        <is>
          <t>Impacto</t>
        </is>
      </c>
      <c r="B18" s="19" t="inlineStr">
        <is>
          <t>I1</t>
        </is>
      </c>
      <c r="C18" s="6" t="inlineStr">
        <is>
          <t>Mobilidade</t>
        </is>
      </c>
      <c r="D18" s="6" t="inlineStr">
        <is>
          <t>Classe da via mais importante afetada pelo alagamento; +1 se houver interdição registrada pela CTTU (máximo 5)</t>
        </is>
      </c>
      <c r="E18" s="7" t="inlineStr">
        <is>
          <t>Classe</t>
        </is>
      </c>
      <c r="F18" s="8" t="inlineStr">
        <is>
          <t>Via local ou de pedestres</t>
        </is>
      </c>
      <c r="G18" s="9" t="inlineStr">
        <is>
          <t>Coletora</t>
        </is>
      </c>
      <c r="H18" s="10" t="inlineStr">
        <is>
          <t>Arterial secundária</t>
        </is>
      </c>
      <c r="I18" s="11" t="inlineStr">
        <is>
          <t>Arterial principal</t>
        </is>
      </c>
      <c r="J18" s="12" t="inlineStr">
        <is>
          <t>Trânsito rápido ou corredor de ônibus</t>
        </is>
      </c>
      <c r="K18" s="6" t="inlineStr">
        <is>
          <t>Proposta Claude, a partir da classificação viária usada na planilha original</t>
        </is>
      </c>
      <c r="L18" s="6" t="inlineStr">
        <is>
          <t>Manter</t>
        </is>
      </c>
      <c r="M18" s="6" t="inlineStr">
        <is>
          <t>Hierarquia viária (ESIG / CTTU); OSM; paradas (Grande Recife); interdições (CTTU)</t>
        </is>
      </c>
      <c r="N18" s="13" t="inlineStr">
        <is>
          <t>Pendente</t>
        </is>
      </c>
      <c r="O18" s="13" t="inlineStr">
        <is>
          <t>Pendente</t>
        </is>
      </c>
      <c r="P18" s="14" t="inlineStr">
        <is>
          <t>Pedir a Antônio (CTTU): hierarquia viária, linhas e registro de interdições.</t>
        </is>
      </c>
      <c r="Q18" s="6" t="inlineStr">
        <is>
          <t>Vias no ESIG confirmadas na busca; ônibus e interdições não verificados.</t>
        </is>
      </c>
    </row>
    <row r="19">
      <c r="A19" s="18" t="inlineStr">
        <is>
          <t>Impacto</t>
        </is>
      </c>
      <c r="B19" s="19" t="inlineStr">
        <is>
          <t>I2</t>
        </is>
      </c>
      <c r="C19" s="6" t="inlineStr">
        <is>
          <t>Risco sanitário</t>
        </is>
      </c>
      <c r="D19" s="6" t="inlineStr">
        <is>
          <t>% de domicílios sem ligação à rede de esgoto nos setores do círculo</t>
        </is>
      </c>
      <c r="E19" s="7" t="inlineStr">
        <is>
          <t>Quintil</t>
        </is>
      </c>
      <c r="F19" s="8" t="inlineStr">
        <is>
          <t>Quintil 1 (20% menores)</t>
        </is>
      </c>
      <c r="G19" s="9" t="inlineStr">
        <is>
          <t>Quintil 2</t>
        </is>
      </c>
      <c r="H19" s="10" t="inlineStr">
        <is>
          <t>Quintil 3</t>
        </is>
      </c>
      <c r="I19" s="11" t="inlineStr">
        <is>
          <t>Quintil 4</t>
        </is>
      </c>
      <c r="J19" s="12" t="inlineStr">
        <is>
          <t>Quintil 5 (20% maiores)</t>
        </is>
      </c>
      <c r="K19" s="6" t="inlineStr">
        <is>
          <t>Proposta Claude (quintis)</t>
        </is>
      </c>
      <c r="L19" s="6" t="inlineStr">
        <is>
          <t>Manter</t>
        </is>
      </c>
      <c r="M19" s="6" t="inlineStr">
        <is>
          <t>IBGE — Agregados por setor 2022 (esgotamento); Compesa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Quintis porque a cobertura de esgoto no Recife é baixa e faixas fixas podem saturar.</t>
        </is>
      </c>
      <c r="Q19" s="6" t="inlineStr">
        <is>
          <t>Esgotamento por setor confirmado na busca (não baixado).</t>
        </is>
      </c>
    </row>
    <row r="21">
      <c r="A21" s="20" t="inlineStr">
        <is>
          <t>Resumo</t>
        </is>
      </c>
      <c r="N21" s="21" t="inlineStr">
        <is>
          <t>Fonte confirmada</t>
        </is>
      </c>
      <c r="O21" s="21" t="inlineStr">
        <is>
          <t>Dado existe</t>
        </is>
      </c>
    </row>
    <row r="22">
      <c r="M22" s="22" t="inlineStr">
        <is>
          <t>Sim</t>
        </is>
      </c>
      <c r="N22" s="23">
        <f>COUNTIF(N$5:N$19,$M22)</f>
        <v/>
      </c>
      <c r="O22" s="23">
        <f>COUNTIF(O$5:O$19,$M22)</f>
        <v/>
      </c>
    </row>
    <row r="23">
      <c r="M23" s="22" t="inlineStr">
        <is>
          <t>Parcial</t>
        </is>
      </c>
      <c r="N23" s="23">
        <f>COUNTIF(N$5:N$19,$M23)</f>
        <v/>
      </c>
      <c r="O23" s="23">
        <f>COUNTIF(O$5:O$19,$M23)</f>
        <v/>
      </c>
    </row>
    <row r="24">
      <c r="M24" s="22" t="inlineStr">
        <is>
          <t>Não</t>
        </is>
      </c>
      <c r="N24" s="23">
        <f>COUNTIF(N$5:N$19,$M24)</f>
        <v/>
      </c>
      <c r="O24" s="23">
        <f>COUNTIF(O$5:O$19,$M24)</f>
        <v/>
      </c>
    </row>
    <row r="25">
      <c r="M25" s="22" t="inlineStr">
        <is>
          <t>Pendente</t>
        </is>
      </c>
      <c r="N25" s="23">
        <f>COUNTIF(N$5:N$19,$M25)</f>
        <v/>
      </c>
      <c r="O25" s="23">
        <f>COUNTIF(O$5:O$19,$M25)</f>
        <v/>
      </c>
    </row>
    <row r="26">
      <c r="M26" s="24" t="inlineStr">
        <is>
          <t>Subcritérios com fonte e dado confirmados</t>
        </is>
      </c>
      <c r="O26" s="25">
        <f>COUNTIFS(N5:N19,"Sim",O5:O19,"Sim")&amp;" de "&amp;ROWS(N5:N19)</f>
        <v/>
      </c>
    </row>
  </sheetData>
  <autoFilter ref="A4:Q19"/>
  <mergeCells count="1">
    <mergeCell ref="A2:Q2"/>
  </mergeCells>
  <conditionalFormatting sqref="N5:O19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19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34"/>
  <sheetViews>
    <sheetView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1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3" customWidth="1" min="21" max="21"/>
    <col width="11" customWidth="1" min="22" max="22"/>
    <col width="11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subcritérios'. Linha 'Peso': vazia = todos os pesos iguais. Nota em branco fica fora da média (não vira zero). Sem nota de Probabilidade não há risco. P6 e V1 são condicionais: deixe em branco se não forem usados. Colunas cinza são calculadas: não edite.</t>
        </is>
      </c>
    </row>
    <row r="4">
      <c r="F4" s="26" t="inlineStr">
        <is>
          <t>Probabilidade</t>
        </is>
      </c>
      <c r="M4" s="27" t="inlineStr">
        <is>
          <t>Exposição</t>
        </is>
      </c>
      <c r="Q4" s="28" t="inlineStr">
        <is>
          <t>Vulnerabilidade</t>
        </is>
      </c>
      <c r="V4" s="29" t="inlineStr">
        <is>
          <t>Impacto</t>
        </is>
      </c>
      <c r="Y4" s="30" t="inlineStr">
        <is>
          <t>Resultado</t>
        </is>
      </c>
    </row>
    <row r="5">
      <c r="E5" s="31" t="inlineStr">
        <is>
          <t>Peso →</t>
        </is>
      </c>
      <c r="F5" s="32" t="n"/>
      <c r="G5" s="32" t="n"/>
      <c r="H5" s="32" t="n"/>
      <c r="I5" s="32" t="n"/>
      <c r="J5" s="32" t="n"/>
      <c r="K5" s="32" t="n"/>
      <c r="L5" s="33" t="inlineStr">
        <is>
          <t>(multiplica)</t>
        </is>
      </c>
      <c r="M5" s="32" t="n"/>
      <c r="N5" s="32" t="n"/>
      <c r="O5" s="32" t="n"/>
      <c r="P5" s="34" t="n"/>
      <c r="Q5" s="32" t="n"/>
      <c r="R5" s="32" t="n"/>
      <c r="S5" s="32" t="n"/>
      <c r="T5" s="32" t="n"/>
      <c r="U5" s="34" t="n"/>
      <c r="V5" s="32" t="n"/>
      <c r="W5" s="32" t="n"/>
      <c r="X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</t>
        </is>
      </c>
      <c r="F6" s="36" t="inlineStr">
        <is>
          <t>P1
Frequência de alagamento</t>
        </is>
      </c>
      <c r="G6" s="36" t="inlineStr">
        <is>
          <t>P2
Severidade</t>
        </is>
      </c>
      <c r="H6" s="36" t="inlineStr">
        <is>
          <t>P3
Influência da maré</t>
        </is>
      </c>
      <c r="I6" s="36" t="inlineStr">
        <is>
          <t>P4
Proximidade de rio ou canal</t>
        </is>
      </c>
      <c r="J6" s="36" t="inlineStr">
        <is>
          <t>P5
Impermeabilização</t>
        </is>
      </c>
      <c r="K6" s="36" t="inlineStr">
        <is>
          <t>P6
Baixio</t>
        </is>
      </c>
      <c r="L6" s="37" t="inlineStr">
        <is>
          <t>Nota
Probabilidade</t>
        </is>
      </c>
      <c r="M6" s="38" t="inlineStr">
        <is>
          <t>E1
População</t>
        </is>
      </c>
      <c r="N6" s="38" t="inlineStr">
        <is>
          <t>E2
Equipamentos sensíveis</t>
        </is>
      </c>
      <c r="O6" s="38" t="inlineStr">
        <is>
          <t>E3
Atividade econômica</t>
        </is>
      </c>
      <c r="P6" s="37" t="inlineStr">
        <is>
          <t>Nota
Exposição</t>
        </is>
      </c>
      <c r="Q6" s="39" t="inlineStr">
        <is>
          <t>V2
Grupos sensíveis</t>
        </is>
      </c>
      <c r="R6" s="39" t="inlineStr">
        <is>
          <t>V3
Favelas e comunidades urbanas</t>
        </is>
      </c>
      <c r="S6" s="39" t="inlineStr">
        <is>
          <t>V4
Tipo de moradia</t>
        </is>
      </c>
      <c r="T6" s="39" t="inlineStr">
        <is>
          <t>V1
Vulnerabilidade social (IVS)</t>
        </is>
      </c>
      <c r="U6" s="37" t="inlineStr">
        <is>
          <t>Nota
Vulnerabilidade</t>
        </is>
      </c>
      <c r="V6" s="40" t="inlineStr">
        <is>
          <t>I1
Mobilidade</t>
        </is>
      </c>
      <c r="W6" s="40" t="inlineStr">
        <is>
          <t>I2
Risco sanitário</t>
        </is>
      </c>
      <c r="X6" s="37" t="inlineStr">
        <is>
          <t>Nota
Impacto</t>
        </is>
      </c>
      <c r="Y6" s="41" t="inlineStr">
        <is>
          <t>Consequência
(1–5)</t>
        </is>
      </c>
      <c r="Z6" s="41" t="inlineStr">
        <is>
          <t>Risco
P × C (1–25)</t>
        </is>
      </c>
      <c r="AA6" s="41" t="inlineStr">
        <is>
          <t>Índice de risco
(0–1)</t>
        </is>
      </c>
      <c r="AB6" s="41" t="inlineStr">
        <is>
          <t>Posição</t>
        </is>
      </c>
      <c r="AC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/>
      <c r="G7" s="44" t="n"/>
      <c r="H7" s="44" t="n"/>
      <c r="I7" s="44" t="n"/>
      <c r="J7" s="44" t="n"/>
      <c r="K7" s="44" t="n"/>
      <c r="L7" s="45">
        <f>IF(COUNT(F7:K7)=0,"",IFERROR(SUMPRODUCT(F7:K7,(F$5:K$5+(F$5:K$5="")))/SUMPRODUCT((F7:K7&lt;&gt;"")*(F$5:K$5+(F$5:K$5=""))),""))</f>
        <v/>
      </c>
      <c r="M7" s="44" t="n"/>
      <c r="N7" s="44" t="n"/>
      <c r="O7" s="44" t="n"/>
      <c r="P7" s="45">
        <f>IF(COUNT(M7:O7)=0,"",IFERROR(SUMPRODUCT(M7:O7,(M$5:O$5+(M$5:O$5="")))/SUMPRODUCT((M7:O7&lt;&gt;"")*(M$5:O$5+(M$5:O$5=""))),""))</f>
        <v/>
      </c>
      <c r="Q7" s="44" t="n"/>
      <c r="R7" s="44" t="n"/>
      <c r="S7" s="44" t="n"/>
      <c r="T7" s="44" t="n"/>
      <c r="U7" s="45">
        <f>IF(COUNT(Q7:T7)=0,"",IFERROR(SUMPRODUCT(Q7:T7,(Q$5:T$5+(Q$5:T$5="")))/SUMPRODUCT((Q7:T7&lt;&gt;"")*(Q$5:T$5+(Q$5:T$5=""))),""))</f>
        <v/>
      </c>
      <c r="V7" s="44" t="n"/>
      <c r="W7" s="44" t="n"/>
      <c r="X7" s="45">
        <f>IF(COUNT(V7:W7)=0,"",IFERROR(SUMPRODUCT(V7:W7,(V$5:W$5+(V$5:W$5="")))/SUMPRODUCT((V7:W7&lt;&gt;"")*(V$5:W$5+(V$5:W$5=""))),""))</f>
        <v/>
      </c>
      <c r="Y7" s="45">
        <f>IFERROR(IF((ISNUMBER(P7)*(P$5+(P$5=""))+ISNUMBER(U7)*(U$5+(U$5=""))+ISNUMBER(X7)*(X$5+(X$5="")))=0,"",(N(P7)*(P$5+(P$5=""))+N(U7)*(U$5+(U$5=""))+N(X7)*(X$5+(X$5="")))/(ISNUMBER(P7)*(P$5+(P$5=""))+ISNUMBER(U7)*(U$5+(U$5=""))+ISNUMBER(X7)*(X$5+(X$5="")))),"")</f>
        <v/>
      </c>
      <c r="Z7" s="46">
        <f>IF(AND(ISNUMBER(L7),ISNUMBER(Y7)),L7*Y7,"")</f>
        <v/>
      </c>
      <c r="AA7" s="47">
        <f>IF(ISNUMBER(Z7),(Z7-1)/24,"")</f>
        <v/>
      </c>
      <c r="AB7" s="48">
        <f>IF(ISNUMBER(Z7),COUNTIF(Z$7:Z$27,"&gt;"&amp;Z7)+1,"")</f>
        <v/>
      </c>
      <c r="AC7" s="49">
        <f>COUNT(F7,G7,H7,I7,J7,K7,M7,N7,O7,Q7,R7,S7,T7,V7,W7)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/>
      <c r="G8" s="44" t="n"/>
      <c r="H8" s="44" t="n"/>
      <c r="I8" s="44" t="n"/>
      <c r="J8" s="44" t="n"/>
      <c r="K8" s="44" t="n"/>
      <c r="L8" s="45">
        <f>IF(COUNT(F8:K8)=0,"",IFERROR(SUMPRODUCT(F8:K8,(F$5:K$5+(F$5:K$5="")))/SUMPRODUCT((F8:K8&lt;&gt;"")*(F$5:K$5+(F$5:K$5=""))),""))</f>
        <v/>
      </c>
      <c r="M8" s="44" t="n"/>
      <c r="N8" s="44" t="n"/>
      <c r="O8" s="44" t="n"/>
      <c r="P8" s="45">
        <f>IF(COUNT(M8:O8)=0,"",IFERROR(SUMPRODUCT(M8:O8,(M$5:O$5+(M$5:O$5="")))/SUMPRODUCT((M8:O8&lt;&gt;"")*(M$5:O$5+(M$5:O$5=""))),""))</f>
        <v/>
      </c>
      <c r="Q8" s="44" t="n"/>
      <c r="R8" s="44" t="n"/>
      <c r="S8" s="44" t="n"/>
      <c r="T8" s="44" t="n"/>
      <c r="U8" s="45">
        <f>IF(COUNT(Q8:T8)=0,"",IFERROR(SUMPRODUCT(Q8:T8,(Q$5:T$5+(Q$5:T$5="")))/SUMPRODUCT((Q8:T8&lt;&gt;"")*(Q$5:T$5+(Q$5:T$5=""))),""))</f>
        <v/>
      </c>
      <c r="V8" s="44" t="n"/>
      <c r="W8" s="44" t="n"/>
      <c r="X8" s="45">
        <f>IF(COUNT(V8:W8)=0,"",IFERROR(SUMPRODUCT(V8:W8,(V$5:W$5+(V$5:W$5="")))/SUMPRODUCT((V8:W8&lt;&gt;"")*(V$5:W$5+(V$5:W$5=""))),""))</f>
        <v/>
      </c>
      <c r="Y8" s="45">
        <f>IFERROR(IF((ISNUMBER(P8)*(P$5+(P$5=""))+ISNUMBER(U8)*(U$5+(U$5=""))+ISNUMBER(X8)*(X$5+(X$5="")))=0,"",(N(P8)*(P$5+(P$5=""))+N(U8)*(U$5+(U$5=""))+N(X8)*(X$5+(X$5="")))/(ISNUMBER(P8)*(P$5+(P$5=""))+ISNUMBER(U8)*(U$5+(U$5=""))+ISNUMBER(X8)*(X$5+(X$5="")))),"")</f>
        <v/>
      </c>
      <c r="Z8" s="46">
        <f>IF(AND(ISNUMBER(L8),ISNUMBER(Y8)),L8*Y8,"")</f>
        <v/>
      </c>
      <c r="AA8" s="47">
        <f>IF(ISNUMBER(Z8),(Z8-1)/24,"")</f>
        <v/>
      </c>
      <c r="AB8" s="48">
        <f>IF(ISNUMBER(Z8),COUNTIF(Z$7:Z$27,"&gt;"&amp;Z8)+1,"")</f>
        <v/>
      </c>
      <c r="AC8" s="49">
        <f>COUNT(F8,G8,H8,I8,J8,K8,M8,N8,O8,Q8,R8,S8,T8,V8,W8)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/>
      <c r="G9" s="44" t="n"/>
      <c r="H9" s="44" t="n"/>
      <c r="I9" s="44" t="n"/>
      <c r="J9" s="44" t="n"/>
      <c r="K9" s="44" t="n"/>
      <c r="L9" s="45">
        <f>IF(COUNT(F9:K9)=0,"",IFERROR(SUMPRODUCT(F9:K9,(F$5:K$5+(F$5:K$5="")))/SUMPRODUCT((F9:K9&lt;&gt;"")*(F$5:K$5+(F$5:K$5=""))),""))</f>
        <v/>
      </c>
      <c r="M9" s="44" t="n"/>
      <c r="N9" s="44" t="n"/>
      <c r="O9" s="44" t="n"/>
      <c r="P9" s="45">
        <f>IF(COUNT(M9:O9)=0,"",IFERROR(SUMPRODUCT(M9:O9,(M$5:O$5+(M$5:O$5="")))/SUMPRODUCT((M9:O9&lt;&gt;"")*(M$5:O$5+(M$5:O$5=""))),""))</f>
        <v/>
      </c>
      <c r="Q9" s="44" t="n"/>
      <c r="R9" s="44" t="n"/>
      <c r="S9" s="44" t="n"/>
      <c r="T9" s="44" t="n"/>
      <c r="U9" s="45">
        <f>IF(COUNT(Q9:T9)=0,"",IFERROR(SUMPRODUCT(Q9:T9,(Q$5:T$5+(Q$5:T$5="")))/SUMPRODUCT((Q9:T9&lt;&gt;"")*(Q$5:T$5+(Q$5:T$5=""))),""))</f>
        <v/>
      </c>
      <c r="V9" s="44" t="n"/>
      <c r="W9" s="44" t="n"/>
      <c r="X9" s="45">
        <f>IF(COUNT(V9:W9)=0,"",IFERROR(SUMPRODUCT(V9:W9,(V$5:W$5+(V$5:W$5="")))/SUMPRODUCT((V9:W9&lt;&gt;"")*(V$5:W$5+(V$5:W$5=""))),""))</f>
        <v/>
      </c>
      <c r="Y9" s="45">
        <f>IFERROR(IF((ISNUMBER(P9)*(P$5+(P$5=""))+ISNUMBER(U9)*(U$5+(U$5=""))+ISNUMBER(X9)*(X$5+(X$5="")))=0,"",(N(P9)*(P$5+(P$5=""))+N(U9)*(U$5+(U$5=""))+N(X9)*(X$5+(X$5="")))/(ISNUMBER(P9)*(P$5+(P$5=""))+ISNUMBER(U9)*(U$5+(U$5=""))+ISNUMBER(X9)*(X$5+(X$5="")))),"")</f>
        <v/>
      </c>
      <c r="Z9" s="46">
        <f>IF(AND(ISNUMBER(L9),ISNUMBER(Y9)),L9*Y9,"")</f>
        <v/>
      </c>
      <c r="AA9" s="47">
        <f>IF(ISNUMBER(Z9),(Z9-1)/24,"")</f>
        <v/>
      </c>
      <c r="AB9" s="48">
        <f>IF(ISNUMBER(Z9),COUNTIF(Z$7:Z$27,"&gt;"&amp;Z9)+1,"")</f>
        <v/>
      </c>
      <c r="AC9" s="49">
        <f>COUNT(F9,G9,H9,I9,J9,K9,M9,N9,O9,Q9,R9,S9,T9,V9,W9)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/>
      <c r="G10" s="44" t="n"/>
      <c r="H10" s="44" t="n"/>
      <c r="I10" s="44" t="n"/>
      <c r="J10" s="44" t="n"/>
      <c r="K10" s="44" t="n"/>
      <c r="L10" s="45">
        <f>IF(COUNT(F10:K10)=0,"",IFERROR(SUMPRODUCT(F10:K10,(F$5:K$5+(F$5:K$5="")))/SUMPRODUCT((F10:K10&lt;&gt;"")*(F$5:K$5+(F$5:K$5=""))),""))</f>
        <v/>
      </c>
      <c r="M10" s="44" t="n"/>
      <c r="N10" s="44" t="n"/>
      <c r="O10" s="44" t="n"/>
      <c r="P10" s="45">
        <f>IF(COUNT(M10:O10)=0,"",IFERROR(SUMPRODUCT(M10:O10,(M$5:O$5+(M$5:O$5="")))/SUMPRODUCT((M10:O10&lt;&gt;"")*(M$5:O$5+(M$5:O$5=""))),""))</f>
        <v/>
      </c>
      <c r="Q10" s="44" t="n"/>
      <c r="R10" s="44" t="n"/>
      <c r="S10" s="44" t="n"/>
      <c r="T10" s="44" t="n"/>
      <c r="U10" s="45">
        <f>IF(COUNT(Q10:T10)=0,"",IFERROR(SUMPRODUCT(Q10:T10,(Q$5:T$5+(Q$5:T$5="")))/SUMPRODUCT((Q10:T10&lt;&gt;"")*(Q$5:T$5+(Q$5:T$5=""))),""))</f>
        <v/>
      </c>
      <c r="V10" s="44" t="n"/>
      <c r="W10" s="44" t="n"/>
      <c r="X10" s="45">
        <f>IF(COUNT(V10:W10)=0,"",IFERROR(SUMPRODUCT(V10:W10,(V$5:W$5+(V$5:W$5="")))/SUMPRODUCT((V10:W10&lt;&gt;"")*(V$5:W$5+(V$5:W$5=""))),""))</f>
        <v/>
      </c>
      <c r="Y10" s="45">
        <f>IFERROR(IF((ISNUMBER(P10)*(P$5+(P$5=""))+ISNUMBER(U10)*(U$5+(U$5=""))+ISNUMBER(X10)*(X$5+(X$5="")))=0,"",(N(P10)*(P$5+(P$5=""))+N(U10)*(U$5+(U$5=""))+N(X10)*(X$5+(X$5="")))/(ISNUMBER(P10)*(P$5+(P$5=""))+ISNUMBER(U10)*(U$5+(U$5=""))+ISNUMBER(X10)*(X$5+(X$5="")))),"")</f>
        <v/>
      </c>
      <c r="Z10" s="46">
        <f>IF(AND(ISNUMBER(L10),ISNUMBER(Y10)),L10*Y10,"")</f>
        <v/>
      </c>
      <c r="AA10" s="47">
        <f>IF(ISNUMBER(Z10),(Z10-1)/24,"")</f>
        <v/>
      </c>
      <c r="AB10" s="48">
        <f>IF(ISNUMBER(Z10),COUNTIF(Z$7:Z$27,"&gt;"&amp;Z10)+1,"")</f>
        <v/>
      </c>
      <c r="AC10" s="49">
        <f>COUNT(F10,G10,H10,I10,J10,K10,M10,N10,O10,Q10,R10,S10,T10,V10,W10)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/>
      <c r="G11" s="44" t="n"/>
      <c r="H11" s="44" t="n"/>
      <c r="I11" s="44" t="n"/>
      <c r="J11" s="44" t="n"/>
      <c r="K11" s="44" t="n"/>
      <c r="L11" s="45">
        <f>IF(COUNT(F11:K11)=0,"",IFERROR(SUMPRODUCT(F11:K11,(F$5:K$5+(F$5:K$5="")))/SUMPRODUCT((F11:K11&lt;&gt;"")*(F$5:K$5+(F$5:K$5=""))),""))</f>
        <v/>
      </c>
      <c r="M11" s="44" t="n"/>
      <c r="N11" s="44" t="n"/>
      <c r="O11" s="44" t="n"/>
      <c r="P11" s="45">
        <f>IF(COUNT(M11:O11)=0,"",IFERROR(SUMPRODUCT(M11:O11,(M$5:O$5+(M$5:O$5="")))/SUMPRODUCT((M11:O11&lt;&gt;"")*(M$5:O$5+(M$5:O$5=""))),""))</f>
        <v/>
      </c>
      <c r="Q11" s="44" t="n"/>
      <c r="R11" s="44" t="n"/>
      <c r="S11" s="44" t="n"/>
      <c r="T11" s="44" t="n"/>
      <c r="U11" s="45">
        <f>IF(COUNT(Q11:T11)=0,"",IFERROR(SUMPRODUCT(Q11:T11,(Q$5:T$5+(Q$5:T$5="")))/SUMPRODUCT((Q11:T11&lt;&gt;"")*(Q$5:T$5+(Q$5:T$5=""))),""))</f>
        <v/>
      </c>
      <c r="V11" s="44" t="n"/>
      <c r="W11" s="44" t="n"/>
      <c r="X11" s="45">
        <f>IF(COUNT(V11:W11)=0,"",IFERROR(SUMPRODUCT(V11:W11,(V$5:W$5+(V$5:W$5="")))/SUMPRODUCT((V11:W11&lt;&gt;"")*(V$5:W$5+(V$5:W$5=""))),""))</f>
        <v/>
      </c>
      <c r="Y11" s="45">
        <f>IFERROR(IF((ISNUMBER(P11)*(P$5+(P$5=""))+ISNUMBER(U11)*(U$5+(U$5=""))+ISNUMBER(X11)*(X$5+(X$5="")))=0,"",(N(P11)*(P$5+(P$5=""))+N(U11)*(U$5+(U$5=""))+N(X11)*(X$5+(X$5="")))/(ISNUMBER(P11)*(P$5+(P$5=""))+ISNUMBER(U11)*(U$5+(U$5=""))+ISNUMBER(X11)*(X$5+(X$5="")))),"")</f>
        <v/>
      </c>
      <c r="Z11" s="46">
        <f>IF(AND(ISNUMBER(L11),ISNUMBER(Y11)),L11*Y11,"")</f>
        <v/>
      </c>
      <c r="AA11" s="47">
        <f>IF(ISNUMBER(Z11),(Z11-1)/24,"")</f>
        <v/>
      </c>
      <c r="AB11" s="48">
        <f>IF(ISNUMBER(Z11),COUNTIF(Z$7:Z$27,"&gt;"&amp;Z11)+1,"")</f>
        <v/>
      </c>
      <c r="AC11" s="49">
        <f>COUNT(F11,G11,H11,I11,J11,K11,M11,N11,O11,Q11,R11,S11,T11,V11,W11)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/>
      <c r="G12" s="44" t="n"/>
      <c r="H12" s="44" t="n"/>
      <c r="I12" s="44" t="n"/>
      <c r="J12" s="44" t="n"/>
      <c r="K12" s="44" t="n"/>
      <c r="L12" s="45">
        <f>IF(COUNT(F12:K12)=0,"",IFERROR(SUMPRODUCT(F12:K12,(F$5:K$5+(F$5:K$5="")))/SUMPRODUCT((F12:K12&lt;&gt;"")*(F$5:K$5+(F$5:K$5=""))),""))</f>
        <v/>
      </c>
      <c r="M12" s="44" t="n"/>
      <c r="N12" s="44" t="n"/>
      <c r="O12" s="44" t="n"/>
      <c r="P12" s="45">
        <f>IF(COUNT(M12:O12)=0,"",IFERROR(SUMPRODUCT(M12:O12,(M$5:O$5+(M$5:O$5="")))/SUMPRODUCT((M12:O12&lt;&gt;"")*(M$5:O$5+(M$5:O$5=""))),""))</f>
        <v/>
      </c>
      <c r="Q12" s="44" t="n"/>
      <c r="R12" s="44" t="n"/>
      <c r="S12" s="44" t="n"/>
      <c r="T12" s="44" t="n"/>
      <c r="U12" s="45">
        <f>IF(COUNT(Q12:T12)=0,"",IFERROR(SUMPRODUCT(Q12:T12,(Q$5:T$5+(Q$5:T$5="")))/SUMPRODUCT((Q12:T12&lt;&gt;"")*(Q$5:T$5+(Q$5:T$5=""))),""))</f>
        <v/>
      </c>
      <c r="V12" s="44" t="n"/>
      <c r="W12" s="44" t="n"/>
      <c r="X12" s="45">
        <f>IF(COUNT(V12:W12)=0,"",IFERROR(SUMPRODUCT(V12:W12,(V$5:W$5+(V$5:W$5="")))/SUMPRODUCT((V12:W12&lt;&gt;"")*(V$5:W$5+(V$5:W$5=""))),""))</f>
        <v/>
      </c>
      <c r="Y12" s="45">
        <f>IFERROR(IF((ISNUMBER(P12)*(P$5+(P$5=""))+ISNUMBER(U12)*(U$5+(U$5=""))+ISNUMBER(X12)*(X$5+(X$5="")))=0,"",(N(P12)*(P$5+(P$5=""))+N(U12)*(U$5+(U$5=""))+N(X12)*(X$5+(X$5="")))/(ISNUMBER(P12)*(P$5+(P$5=""))+ISNUMBER(U12)*(U$5+(U$5=""))+ISNUMBER(X12)*(X$5+(X$5="")))),"")</f>
        <v/>
      </c>
      <c r="Z12" s="46">
        <f>IF(AND(ISNUMBER(L12),ISNUMBER(Y12)),L12*Y12,"")</f>
        <v/>
      </c>
      <c r="AA12" s="47">
        <f>IF(ISNUMBER(Z12),(Z12-1)/24,"")</f>
        <v/>
      </c>
      <c r="AB12" s="48">
        <f>IF(ISNUMBER(Z12),COUNTIF(Z$7:Z$27,"&gt;"&amp;Z12)+1,"")</f>
        <v/>
      </c>
      <c r="AC12" s="49">
        <f>COUNT(F12,G12,H12,I12,J12,K12,M12,N12,O12,Q12,R12,S12,T12,V12,W12)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/>
      <c r="G13" s="44" t="n"/>
      <c r="H13" s="44" t="n"/>
      <c r="I13" s="44" t="n"/>
      <c r="J13" s="44" t="n"/>
      <c r="K13" s="44" t="n"/>
      <c r="L13" s="45">
        <f>IF(COUNT(F13:K13)=0,"",IFERROR(SUMPRODUCT(F13:K13,(F$5:K$5+(F$5:K$5="")))/SUMPRODUCT((F13:K13&lt;&gt;"")*(F$5:K$5+(F$5:K$5=""))),""))</f>
        <v/>
      </c>
      <c r="M13" s="44" t="n"/>
      <c r="N13" s="44" t="n"/>
      <c r="O13" s="44" t="n"/>
      <c r="P13" s="45">
        <f>IF(COUNT(M13:O13)=0,"",IFERROR(SUMPRODUCT(M13:O13,(M$5:O$5+(M$5:O$5="")))/SUMPRODUCT((M13:O13&lt;&gt;"")*(M$5:O$5+(M$5:O$5=""))),""))</f>
        <v/>
      </c>
      <c r="Q13" s="44" t="n"/>
      <c r="R13" s="44" t="n"/>
      <c r="S13" s="44" t="n"/>
      <c r="T13" s="44" t="n"/>
      <c r="U13" s="45">
        <f>IF(COUNT(Q13:T13)=0,"",IFERROR(SUMPRODUCT(Q13:T13,(Q$5:T$5+(Q$5:T$5="")))/SUMPRODUCT((Q13:T13&lt;&gt;"")*(Q$5:T$5+(Q$5:T$5=""))),""))</f>
        <v/>
      </c>
      <c r="V13" s="44" t="n"/>
      <c r="W13" s="44" t="n"/>
      <c r="X13" s="45">
        <f>IF(COUNT(V13:W13)=0,"",IFERROR(SUMPRODUCT(V13:W13,(V$5:W$5+(V$5:W$5="")))/SUMPRODUCT((V13:W13&lt;&gt;"")*(V$5:W$5+(V$5:W$5=""))),""))</f>
        <v/>
      </c>
      <c r="Y13" s="45">
        <f>IFERROR(IF((ISNUMBER(P13)*(P$5+(P$5=""))+ISNUMBER(U13)*(U$5+(U$5=""))+ISNUMBER(X13)*(X$5+(X$5="")))=0,"",(N(P13)*(P$5+(P$5=""))+N(U13)*(U$5+(U$5=""))+N(X13)*(X$5+(X$5="")))/(ISNUMBER(P13)*(P$5+(P$5=""))+ISNUMBER(U13)*(U$5+(U$5=""))+ISNUMBER(X13)*(X$5+(X$5="")))),"")</f>
        <v/>
      </c>
      <c r="Z13" s="46">
        <f>IF(AND(ISNUMBER(L13),ISNUMBER(Y13)),L13*Y13,"")</f>
        <v/>
      </c>
      <c r="AA13" s="47">
        <f>IF(ISNUMBER(Z13),(Z13-1)/24,"")</f>
        <v/>
      </c>
      <c r="AB13" s="48">
        <f>IF(ISNUMBER(Z13),COUNTIF(Z$7:Z$27,"&gt;"&amp;Z13)+1,"")</f>
        <v/>
      </c>
      <c r="AC13" s="49">
        <f>COUNT(F13,G13,H13,I13,J13,K13,M13,N13,O13,Q13,R13,S13,T13,V13,W13)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/>
      <c r="G14" s="44" t="n"/>
      <c r="H14" s="44" t="n"/>
      <c r="I14" s="44" t="n"/>
      <c r="J14" s="44" t="n"/>
      <c r="K14" s="44" t="n"/>
      <c r="L14" s="45">
        <f>IF(COUNT(F14:K14)=0,"",IFERROR(SUMPRODUCT(F14:K14,(F$5:K$5+(F$5:K$5="")))/SUMPRODUCT((F14:K14&lt;&gt;"")*(F$5:K$5+(F$5:K$5=""))),""))</f>
        <v/>
      </c>
      <c r="M14" s="44" t="n"/>
      <c r="N14" s="44" t="n"/>
      <c r="O14" s="44" t="n"/>
      <c r="P14" s="45">
        <f>IF(COUNT(M14:O14)=0,"",IFERROR(SUMPRODUCT(M14:O14,(M$5:O$5+(M$5:O$5="")))/SUMPRODUCT((M14:O14&lt;&gt;"")*(M$5:O$5+(M$5:O$5=""))),""))</f>
        <v/>
      </c>
      <c r="Q14" s="44" t="n"/>
      <c r="R14" s="44" t="n"/>
      <c r="S14" s="44" t="n"/>
      <c r="T14" s="44" t="n"/>
      <c r="U14" s="45">
        <f>IF(COUNT(Q14:T14)=0,"",IFERROR(SUMPRODUCT(Q14:T14,(Q$5:T$5+(Q$5:T$5="")))/SUMPRODUCT((Q14:T14&lt;&gt;"")*(Q$5:T$5+(Q$5:T$5=""))),""))</f>
        <v/>
      </c>
      <c r="V14" s="44" t="n"/>
      <c r="W14" s="44" t="n"/>
      <c r="X14" s="45">
        <f>IF(COUNT(V14:W14)=0,"",IFERROR(SUMPRODUCT(V14:W14,(V$5:W$5+(V$5:W$5="")))/SUMPRODUCT((V14:W14&lt;&gt;"")*(V$5:W$5+(V$5:W$5=""))),""))</f>
        <v/>
      </c>
      <c r="Y14" s="45">
        <f>IFERROR(IF((ISNUMBER(P14)*(P$5+(P$5=""))+ISNUMBER(U14)*(U$5+(U$5=""))+ISNUMBER(X14)*(X$5+(X$5="")))=0,"",(N(P14)*(P$5+(P$5=""))+N(U14)*(U$5+(U$5=""))+N(X14)*(X$5+(X$5="")))/(ISNUMBER(P14)*(P$5+(P$5=""))+ISNUMBER(U14)*(U$5+(U$5=""))+ISNUMBER(X14)*(X$5+(X$5="")))),"")</f>
        <v/>
      </c>
      <c r="Z14" s="46">
        <f>IF(AND(ISNUMBER(L14),ISNUMBER(Y14)),L14*Y14,"")</f>
        <v/>
      </c>
      <c r="AA14" s="47">
        <f>IF(ISNUMBER(Z14),(Z14-1)/24,"")</f>
        <v/>
      </c>
      <c r="AB14" s="48">
        <f>IF(ISNUMBER(Z14),COUNTIF(Z$7:Z$27,"&gt;"&amp;Z14)+1,"")</f>
        <v/>
      </c>
      <c r="AC14" s="49">
        <f>COUNT(F14,G14,H14,I14,J14,K14,M14,N14,O14,Q14,R14,S14,T14,V14,W14)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/>
      <c r="G15" s="44" t="n"/>
      <c r="H15" s="44" t="n"/>
      <c r="I15" s="44" t="n"/>
      <c r="J15" s="44" t="n"/>
      <c r="K15" s="44" t="n"/>
      <c r="L15" s="45">
        <f>IF(COUNT(F15:K15)=0,"",IFERROR(SUMPRODUCT(F15:K15,(F$5:K$5+(F$5:K$5="")))/SUMPRODUCT((F15:K15&lt;&gt;"")*(F$5:K$5+(F$5:K$5=""))),""))</f>
        <v/>
      </c>
      <c r="M15" s="44" t="n"/>
      <c r="N15" s="44" t="n"/>
      <c r="O15" s="44" t="n"/>
      <c r="P15" s="45">
        <f>IF(COUNT(M15:O15)=0,"",IFERROR(SUMPRODUCT(M15:O15,(M$5:O$5+(M$5:O$5="")))/SUMPRODUCT((M15:O15&lt;&gt;"")*(M$5:O$5+(M$5:O$5=""))),""))</f>
        <v/>
      </c>
      <c r="Q15" s="44" t="n"/>
      <c r="R15" s="44" t="n"/>
      <c r="S15" s="44" t="n"/>
      <c r="T15" s="44" t="n"/>
      <c r="U15" s="45">
        <f>IF(COUNT(Q15:T15)=0,"",IFERROR(SUMPRODUCT(Q15:T15,(Q$5:T$5+(Q$5:T$5="")))/SUMPRODUCT((Q15:T15&lt;&gt;"")*(Q$5:T$5+(Q$5:T$5=""))),""))</f>
        <v/>
      </c>
      <c r="V15" s="44" t="n"/>
      <c r="W15" s="44" t="n"/>
      <c r="X15" s="45">
        <f>IF(COUNT(V15:W15)=0,"",IFERROR(SUMPRODUCT(V15:W15,(V$5:W$5+(V$5:W$5="")))/SUMPRODUCT((V15:W15&lt;&gt;"")*(V$5:W$5+(V$5:W$5=""))),""))</f>
        <v/>
      </c>
      <c r="Y15" s="45">
        <f>IFERROR(IF((ISNUMBER(P15)*(P$5+(P$5=""))+ISNUMBER(U15)*(U$5+(U$5=""))+ISNUMBER(X15)*(X$5+(X$5="")))=0,"",(N(P15)*(P$5+(P$5=""))+N(U15)*(U$5+(U$5=""))+N(X15)*(X$5+(X$5="")))/(ISNUMBER(P15)*(P$5+(P$5=""))+ISNUMBER(U15)*(U$5+(U$5=""))+ISNUMBER(X15)*(X$5+(X$5="")))),"")</f>
        <v/>
      </c>
      <c r="Z15" s="46">
        <f>IF(AND(ISNUMBER(L15),ISNUMBER(Y15)),L15*Y15,"")</f>
        <v/>
      </c>
      <c r="AA15" s="47">
        <f>IF(ISNUMBER(Z15),(Z15-1)/24,"")</f>
        <v/>
      </c>
      <c r="AB15" s="48">
        <f>IF(ISNUMBER(Z15),COUNTIF(Z$7:Z$27,"&gt;"&amp;Z15)+1,"")</f>
        <v/>
      </c>
      <c r="AC15" s="49">
        <f>COUNT(F15,G15,H15,I15,J15,K15,M15,N15,O15,Q15,R15,S15,T15,V15,W15)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/>
      <c r="G16" s="44" t="n"/>
      <c r="H16" s="44" t="n"/>
      <c r="I16" s="44" t="n"/>
      <c r="J16" s="44" t="n"/>
      <c r="K16" s="44" t="n"/>
      <c r="L16" s="45">
        <f>IF(COUNT(F16:K16)=0,"",IFERROR(SUMPRODUCT(F16:K16,(F$5:K$5+(F$5:K$5="")))/SUMPRODUCT((F16:K16&lt;&gt;"")*(F$5:K$5+(F$5:K$5=""))),""))</f>
        <v/>
      </c>
      <c r="M16" s="44" t="n"/>
      <c r="N16" s="44" t="n"/>
      <c r="O16" s="44" t="n"/>
      <c r="P16" s="45">
        <f>IF(COUNT(M16:O16)=0,"",IFERROR(SUMPRODUCT(M16:O16,(M$5:O$5+(M$5:O$5="")))/SUMPRODUCT((M16:O16&lt;&gt;"")*(M$5:O$5+(M$5:O$5=""))),""))</f>
        <v/>
      </c>
      <c r="Q16" s="44" t="n"/>
      <c r="R16" s="44" t="n"/>
      <c r="S16" s="44" t="n"/>
      <c r="T16" s="44" t="n"/>
      <c r="U16" s="45">
        <f>IF(COUNT(Q16:T16)=0,"",IFERROR(SUMPRODUCT(Q16:T16,(Q$5:T$5+(Q$5:T$5="")))/SUMPRODUCT((Q16:T16&lt;&gt;"")*(Q$5:T$5+(Q$5:T$5=""))),""))</f>
        <v/>
      </c>
      <c r="V16" s="44" t="n"/>
      <c r="W16" s="44" t="n"/>
      <c r="X16" s="45">
        <f>IF(COUNT(V16:W16)=0,"",IFERROR(SUMPRODUCT(V16:W16,(V$5:W$5+(V$5:W$5="")))/SUMPRODUCT((V16:W16&lt;&gt;"")*(V$5:W$5+(V$5:W$5=""))),""))</f>
        <v/>
      </c>
      <c r="Y16" s="45">
        <f>IFERROR(IF((ISNUMBER(P16)*(P$5+(P$5=""))+ISNUMBER(U16)*(U$5+(U$5=""))+ISNUMBER(X16)*(X$5+(X$5="")))=0,"",(N(P16)*(P$5+(P$5=""))+N(U16)*(U$5+(U$5=""))+N(X16)*(X$5+(X$5="")))/(ISNUMBER(P16)*(P$5+(P$5=""))+ISNUMBER(U16)*(U$5+(U$5=""))+ISNUMBER(X16)*(X$5+(X$5="")))),"")</f>
        <v/>
      </c>
      <c r="Z16" s="46">
        <f>IF(AND(ISNUMBER(L16),ISNUMBER(Y16)),L16*Y16,"")</f>
        <v/>
      </c>
      <c r="AA16" s="47">
        <f>IF(ISNUMBER(Z16),(Z16-1)/24,"")</f>
        <v/>
      </c>
      <c r="AB16" s="48">
        <f>IF(ISNUMBER(Z16),COUNTIF(Z$7:Z$27,"&gt;"&amp;Z16)+1,"")</f>
        <v/>
      </c>
      <c r="AC16" s="49">
        <f>COUNT(F16,G16,H16,I16,J16,K16,M16,N16,O16,Q16,R16,S16,T16,V16,W16)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/>
      <c r="G17" s="44" t="n"/>
      <c r="H17" s="44" t="n"/>
      <c r="I17" s="44" t="n"/>
      <c r="J17" s="44" t="n"/>
      <c r="K17" s="44" t="n"/>
      <c r="L17" s="45">
        <f>IF(COUNT(F17:K17)=0,"",IFERROR(SUMPRODUCT(F17:K17,(F$5:K$5+(F$5:K$5="")))/SUMPRODUCT((F17:K17&lt;&gt;"")*(F$5:K$5+(F$5:K$5=""))),""))</f>
        <v/>
      </c>
      <c r="M17" s="44" t="n"/>
      <c r="N17" s="44" t="n"/>
      <c r="O17" s="44" t="n"/>
      <c r="P17" s="45">
        <f>IF(COUNT(M17:O17)=0,"",IFERROR(SUMPRODUCT(M17:O17,(M$5:O$5+(M$5:O$5="")))/SUMPRODUCT((M17:O17&lt;&gt;"")*(M$5:O$5+(M$5:O$5=""))),""))</f>
        <v/>
      </c>
      <c r="Q17" s="44" t="n"/>
      <c r="R17" s="44" t="n"/>
      <c r="S17" s="44" t="n"/>
      <c r="T17" s="44" t="n"/>
      <c r="U17" s="45">
        <f>IF(COUNT(Q17:T17)=0,"",IFERROR(SUMPRODUCT(Q17:T17,(Q$5:T$5+(Q$5:T$5="")))/SUMPRODUCT((Q17:T17&lt;&gt;"")*(Q$5:T$5+(Q$5:T$5=""))),""))</f>
        <v/>
      </c>
      <c r="V17" s="44" t="n"/>
      <c r="W17" s="44" t="n"/>
      <c r="X17" s="45">
        <f>IF(COUNT(V17:W17)=0,"",IFERROR(SUMPRODUCT(V17:W17,(V$5:W$5+(V$5:W$5="")))/SUMPRODUCT((V17:W17&lt;&gt;"")*(V$5:W$5+(V$5:W$5=""))),""))</f>
        <v/>
      </c>
      <c r="Y17" s="45">
        <f>IFERROR(IF((ISNUMBER(P17)*(P$5+(P$5=""))+ISNUMBER(U17)*(U$5+(U$5=""))+ISNUMBER(X17)*(X$5+(X$5="")))=0,"",(N(P17)*(P$5+(P$5=""))+N(U17)*(U$5+(U$5=""))+N(X17)*(X$5+(X$5="")))/(ISNUMBER(P17)*(P$5+(P$5=""))+ISNUMBER(U17)*(U$5+(U$5=""))+ISNUMBER(X17)*(X$5+(X$5="")))),"")</f>
        <v/>
      </c>
      <c r="Z17" s="46">
        <f>IF(AND(ISNUMBER(L17),ISNUMBER(Y17)),L17*Y17,"")</f>
        <v/>
      </c>
      <c r="AA17" s="47">
        <f>IF(ISNUMBER(Z17),(Z17-1)/24,"")</f>
        <v/>
      </c>
      <c r="AB17" s="48">
        <f>IF(ISNUMBER(Z17),COUNTIF(Z$7:Z$27,"&gt;"&amp;Z17)+1,"")</f>
        <v/>
      </c>
      <c r="AC17" s="49">
        <f>COUNT(F17,G17,H17,I17,J17,K17,M17,N17,O17,Q17,R17,S17,T17,V17,W17)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/>
      <c r="G18" s="44" t="n"/>
      <c r="H18" s="44" t="n"/>
      <c r="I18" s="44" t="n"/>
      <c r="J18" s="44" t="n"/>
      <c r="K18" s="44" t="n"/>
      <c r="L18" s="45">
        <f>IF(COUNT(F18:K18)=0,"",IFERROR(SUMPRODUCT(F18:K18,(F$5:K$5+(F$5:K$5="")))/SUMPRODUCT((F18:K18&lt;&gt;"")*(F$5:K$5+(F$5:K$5=""))),""))</f>
        <v/>
      </c>
      <c r="M18" s="44" t="n"/>
      <c r="N18" s="44" t="n"/>
      <c r="O18" s="44" t="n"/>
      <c r="P18" s="45">
        <f>IF(COUNT(M18:O18)=0,"",IFERROR(SUMPRODUCT(M18:O18,(M$5:O$5+(M$5:O$5="")))/SUMPRODUCT((M18:O18&lt;&gt;"")*(M$5:O$5+(M$5:O$5=""))),""))</f>
        <v/>
      </c>
      <c r="Q18" s="44" t="n"/>
      <c r="R18" s="44" t="n"/>
      <c r="S18" s="44" t="n"/>
      <c r="T18" s="44" t="n"/>
      <c r="U18" s="45">
        <f>IF(COUNT(Q18:T18)=0,"",IFERROR(SUMPRODUCT(Q18:T18,(Q$5:T$5+(Q$5:T$5="")))/SUMPRODUCT((Q18:T18&lt;&gt;"")*(Q$5:T$5+(Q$5:T$5=""))),""))</f>
        <v/>
      </c>
      <c r="V18" s="44" t="n"/>
      <c r="W18" s="44" t="n"/>
      <c r="X18" s="45">
        <f>IF(COUNT(V18:W18)=0,"",IFERROR(SUMPRODUCT(V18:W18,(V$5:W$5+(V$5:W$5="")))/SUMPRODUCT((V18:W18&lt;&gt;"")*(V$5:W$5+(V$5:W$5=""))),""))</f>
        <v/>
      </c>
      <c r="Y18" s="45">
        <f>IFERROR(IF((ISNUMBER(P18)*(P$5+(P$5=""))+ISNUMBER(U18)*(U$5+(U$5=""))+ISNUMBER(X18)*(X$5+(X$5="")))=0,"",(N(P18)*(P$5+(P$5=""))+N(U18)*(U$5+(U$5=""))+N(X18)*(X$5+(X$5="")))/(ISNUMBER(P18)*(P$5+(P$5=""))+ISNUMBER(U18)*(U$5+(U$5=""))+ISNUMBER(X18)*(X$5+(X$5="")))),"")</f>
        <v/>
      </c>
      <c r="Z18" s="46">
        <f>IF(AND(ISNUMBER(L18),ISNUMBER(Y18)),L18*Y18,"")</f>
        <v/>
      </c>
      <c r="AA18" s="47">
        <f>IF(ISNUMBER(Z18),(Z18-1)/24,"")</f>
        <v/>
      </c>
      <c r="AB18" s="48">
        <f>IF(ISNUMBER(Z18),COUNTIF(Z$7:Z$27,"&gt;"&amp;Z18)+1,"")</f>
        <v/>
      </c>
      <c r="AC18" s="49">
        <f>COUNT(F18,G18,H18,I18,J18,K18,M18,N18,O18,Q18,R18,S18,T18,V18,W18)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/>
      <c r="G19" s="44" t="n"/>
      <c r="H19" s="44" t="n"/>
      <c r="I19" s="44" t="n"/>
      <c r="J19" s="44" t="n"/>
      <c r="K19" s="44" t="n"/>
      <c r="L19" s="45">
        <f>IF(COUNT(F19:K19)=0,"",IFERROR(SUMPRODUCT(F19:K19,(F$5:K$5+(F$5:K$5="")))/SUMPRODUCT((F19:K19&lt;&gt;"")*(F$5:K$5+(F$5:K$5=""))),""))</f>
        <v/>
      </c>
      <c r="M19" s="44" t="n"/>
      <c r="N19" s="44" t="n"/>
      <c r="O19" s="44" t="n"/>
      <c r="P19" s="45">
        <f>IF(COUNT(M19:O19)=0,"",IFERROR(SUMPRODUCT(M19:O19,(M$5:O$5+(M$5:O$5="")))/SUMPRODUCT((M19:O19&lt;&gt;"")*(M$5:O$5+(M$5:O$5=""))),""))</f>
        <v/>
      </c>
      <c r="Q19" s="44" t="n"/>
      <c r="R19" s="44" t="n"/>
      <c r="S19" s="44" t="n"/>
      <c r="T19" s="44" t="n"/>
      <c r="U19" s="45">
        <f>IF(COUNT(Q19:T19)=0,"",IFERROR(SUMPRODUCT(Q19:T19,(Q$5:T$5+(Q$5:T$5="")))/SUMPRODUCT((Q19:T19&lt;&gt;"")*(Q$5:T$5+(Q$5:T$5=""))),""))</f>
        <v/>
      </c>
      <c r="V19" s="44" t="n"/>
      <c r="W19" s="44" t="n"/>
      <c r="X19" s="45">
        <f>IF(COUNT(V19:W19)=0,"",IFERROR(SUMPRODUCT(V19:W19,(V$5:W$5+(V$5:W$5="")))/SUMPRODUCT((V19:W19&lt;&gt;"")*(V$5:W$5+(V$5:W$5=""))),""))</f>
        <v/>
      </c>
      <c r="Y19" s="45">
        <f>IFERROR(IF((ISNUMBER(P19)*(P$5+(P$5=""))+ISNUMBER(U19)*(U$5+(U$5=""))+ISNUMBER(X19)*(X$5+(X$5="")))=0,"",(N(P19)*(P$5+(P$5=""))+N(U19)*(U$5+(U$5=""))+N(X19)*(X$5+(X$5="")))/(ISNUMBER(P19)*(P$5+(P$5=""))+ISNUMBER(U19)*(U$5+(U$5=""))+ISNUMBER(X19)*(X$5+(X$5="")))),"")</f>
        <v/>
      </c>
      <c r="Z19" s="46">
        <f>IF(AND(ISNUMBER(L19),ISNUMBER(Y19)),L19*Y19,"")</f>
        <v/>
      </c>
      <c r="AA19" s="47">
        <f>IF(ISNUMBER(Z19),(Z19-1)/24,"")</f>
        <v/>
      </c>
      <c r="AB19" s="48">
        <f>IF(ISNUMBER(Z19),COUNTIF(Z$7:Z$27,"&gt;"&amp;Z19)+1,"")</f>
        <v/>
      </c>
      <c r="AC19" s="49">
        <f>COUNT(F19,G19,H19,I19,J19,K19,M19,N19,O19,Q19,R19,S19,T19,V19,W19)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/>
      <c r="G20" s="44" t="n"/>
      <c r="H20" s="44" t="n"/>
      <c r="I20" s="44" t="n"/>
      <c r="J20" s="44" t="n"/>
      <c r="K20" s="44" t="n"/>
      <c r="L20" s="45">
        <f>IF(COUNT(F20:K20)=0,"",IFERROR(SUMPRODUCT(F20:K20,(F$5:K$5+(F$5:K$5="")))/SUMPRODUCT((F20:K20&lt;&gt;"")*(F$5:K$5+(F$5:K$5=""))),""))</f>
        <v/>
      </c>
      <c r="M20" s="44" t="n"/>
      <c r="N20" s="44" t="n"/>
      <c r="O20" s="44" t="n"/>
      <c r="P20" s="45">
        <f>IF(COUNT(M20:O20)=0,"",IFERROR(SUMPRODUCT(M20:O20,(M$5:O$5+(M$5:O$5="")))/SUMPRODUCT((M20:O20&lt;&gt;"")*(M$5:O$5+(M$5:O$5=""))),""))</f>
        <v/>
      </c>
      <c r="Q20" s="44" t="n"/>
      <c r="R20" s="44" t="n"/>
      <c r="S20" s="44" t="n"/>
      <c r="T20" s="44" t="n"/>
      <c r="U20" s="45">
        <f>IF(COUNT(Q20:T20)=0,"",IFERROR(SUMPRODUCT(Q20:T20,(Q$5:T$5+(Q$5:T$5="")))/SUMPRODUCT((Q20:T20&lt;&gt;"")*(Q$5:T$5+(Q$5:T$5=""))),""))</f>
        <v/>
      </c>
      <c r="V20" s="44" t="n"/>
      <c r="W20" s="44" t="n"/>
      <c r="X20" s="45">
        <f>IF(COUNT(V20:W20)=0,"",IFERROR(SUMPRODUCT(V20:W20,(V$5:W$5+(V$5:W$5="")))/SUMPRODUCT((V20:W20&lt;&gt;"")*(V$5:W$5+(V$5:W$5=""))),""))</f>
        <v/>
      </c>
      <c r="Y20" s="45">
        <f>IFERROR(IF((ISNUMBER(P20)*(P$5+(P$5=""))+ISNUMBER(U20)*(U$5+(U$5=""))+ISNUMBER(X20)*(X$5+(X$5="")))=0,"",(N(P20)*(P$5+(P$5=""))+N(U20)*(U$5+(U$5=""))+N(X20)*(X$5+(X$5="")))/(ISNUMBER(P20)*(P$5+(P$5=""))+ISNUMBER(U20)*(U$5+(U$5=""))+ISNUMBER(X20)*(X$5+(X$5="")))),"")</f>
        <v/>
      </c>
      <c r="Z20" s="46">
        <f>IF(AND(ISNUMBER(L20),ISNUMBER(Y20)),L20*Y20,"")</f>
        <v/>
      </c>
      <c r="AA20" s="47">
        <f>IF(ISNUMBER(Z20),(Z20-1)/24,"")</f>
        <v/>
      </c>
      <c r="AB20" s="48">
        <f>IF(ISNUMBER(Z20),COUNTIF(Z$7:Z$27,"&gt;"&amp;Z20)+1,"")</f>
        <v/>
      </c>
      <c r="AC20" s="49">
        <f>COUNT(F20,G20,H20,I20,J20,K20,M20,N20,O20,Q20,R20,S20,T20,V20,W20)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/>
      <c r="G21" s="44" t="n"/>
      <c r="H21" s="44" t="n"/>
      <c r="I21" s="44" t="n"/>
      <c r="J21" s="44" t="n"/>
      <c r="K21" s="44" t="n"/>
      <c r="L21" s="45">
        <f>IF(COUNT(F21:K21)=0,"",IFERROR(SUMPRODUCT(F21:K21,(F$5:K$5+(F$5:K$5="")))/SUMPRODUCT((F21:K21&lt;&gt;"")*(F$5:K$5+(F$5:K$5=""))),""))</f>
        <v/>
      </c>
      <c r="M21" s="44" t="n"/>
      <c r="N21" s="44" t="n"/>
      <c r="O21" s="44" t="n"/>
      <c r="P21" s="45">
        <f>IF(COUNT(M21:O21)=0,"",IFERROR(SUMPRODUCT(M21:O21,(M$5:O$5+(M$5:O$5="")))/SUMPRODUCT((M21:O21&lt;&gt;"")*(M$5:O$5+(M$5:O$5=""))),""))</f>
        <v/>
      </c>
      <c r="Q21" s="44" t="n"/>
      <c r="R21" s="44" t="n"/>
      <c r="S21" s="44" t="n"/>
      <c r="T21" s="44" t="n"/>
      <c r="U21" s="45">
        <f>IF(COUNT(Q21:T21)=0,"",IFERROR(SUMPRODUCT(Q21:T21,(Q$5:T$5+(Q$5:T$5="")))/SUMPRODUCT((Q21:T21&lt;&gt;"")*(Q$5:T$5+(Q$5:T$5=""))),""))</f>
        <v/>
      </c>
      <c r="V21" s="44" t="n"/>
      <c r="W21" s="44" t="n"/>
      <c r="X21" s="45">
        <f>IF(COUNT(V21:W21)=0,"",IFERROR(SUMPRODUCT(V21:W21,(V$5:W$5+(V$5:W$5="")))/SUMPRODUCT((V21:W21&lt;&gt;"")*(V$5:W$5+(V$5:W$5=""))),""))</f>
        <v/>
      </c>
      <c r="Y21" s="45">
        <f>IFERROR(IF((ISNUMBER(P21)*(P$5+(P$5=""))+ISNUMBER(U21)*(U$5+(U$5=""))+ISNUMBER(X21)*(X$5+(X$5="")))=0,"",(N(P21)*(P$5+(P$5=""))+N(U21)*(U$5+(U$5=""))+N(X21)*(X$5+(X$5="")))/(ISNUMBER(P21)*(P$5+(P$5=""))+ISNUMBER(U21)*(U$5+(U$5=""))+ISNUMBER(X21)*(X$5+(X$5="")))),"")</f>
        <v/>
      </c>
      <c r="Z21" s="46">
        <f>IF(AND(ISNUMBER(L21),ISNUMBER(Y21)),L21*Y21,"")</f>
        <v/>
      </c>
      <c r="AA21" s="47">
        <f>IF(ISNUMBER(Z21),(Z21-1)/24,"")</f>
        <v/>
      </c>
      <c r="AB21" s="48">
        <f>IF(ISNUMBER(Z21),COUNTIF(Z$7:Z$27,"&gt;"&amp;Z21)+1,"")</f>
        <v/>
      </c>
      <c r="AC21" s="49">
        <f>COUNT(F21,G21,H21,I21,J21,K21,M21,N21,O21,Q21,R21,S21,T21,V21,W21)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/>
      <c r="G22" s="44" t="n"/>
      <c r="H22" s="44" t="n"/>
      <c r="I22" s="44" t="n"/>
      <c r="J22" s="44" t="n"/>
      <c r="K22" s="44" t="n"/>
      <c r="L22" s="45">
        <f>IF(COUNT(F22:K22)=0,"",IFERROR(SUMPRODUCT(F22:K22,(F$5:K$5+(F$5:K$5="")))/SUMPRODUCT((F22:K22&lt;&gt;"")*(F$5:K$5+(F$5:K$5=""))),""))</f>
        <v/>
      </c>
      <c r="M22" s="44" t="n"/>
      <c r="N22" s="44" t="n"/>
      <c r="O22" s="44" t="n"/>
      <c r="P22" s="45">
        <f>IF(COUNT(M22:O22)=0,"",IFERROR(SUMPRODUCT(M22:O22,(M$5:O$5+(M$5:O$5="")))/SUMPRODUCT((M22:O22&lt;&gt;"")*(M$5:O$5+(M$5:O$5=""))),""))</f>
        <v/>
      </c>
      <c r="Q22" s="44" t="n"/>
      <c r="R22" s="44" t="n"/>
      <c r="S22" s="44" t="n"/>
      <c r="T22" s="44" t="n"/>
      <c r="U22" s="45">
        <f>IF(COUNT(Q22:T22)=0,"",IFERROR(SUMPRODUCT(Q22:T22,(Q$5:T$5+(Q$5:T$5="")))/SUMPRODUCT((Q22:T22&lt;&gt;"")*(Q$5:T$5+(Q$5:T$5=""))),""))</f>
        <v/>
      </c>
      <c r="V22" s="44" t="n"/>
      <c r="W22" s="44" t="n"/>
      <c r="X22" s="45">
        <f>IF(COUNT(V22:W22)=0,"",IFERROR(SUMPRODUCT(V22:W22,(V$5:W$5+(V$5:W$5="")))/SUMPRODUCT((V22:W22&lt;&gt;"")*(V$5:W$5+(V$5:W$5=""))),""))</f>
        <v/>
      </c>
      <c r="Y22" s="45">
        <f>IFERROR(IF((ISNUMBER(P22)*(P$5+(P$5=""))+ISNUMBER(U22)*(U$5+(U$5=""))+ISNUMBER(X22)*(X$5+(X$5="")))=0,"",(N(P22)*(P$5+(P$5=""))+N(U22)*(U$5+(U$5=""))+N(X22)*(X$5+(X$5="")))/(ISNUMBER(P22)*(P$5+(P$5=""))+ISNUMBER(U22)*(U$5+(U$5=""))+ISNUMBER(X22)*(X$5+(X$5="")))),"")</f>
        <v/>
      </c>
      <c r="Z22" s="46">
        <f>IF(AND(ISNUMBER(L22),ISNUMBER(Y22)),L22*Y22,"")</f>
        <v/>
      </c>
      <c r="AA22" s="47">
        <f>IF(ISNUMBER(Z22),(Z22-1)/24,"")</f>
        <v/>
      </c>
      <c r="AB22" s="48">
        <f>IF(ISNUMBER(Z22),COUNTIF(Z$7:Z$27,"&gt;"&amp;Z22)+1,"")</f>
        <v/>
      </c>
      <c r="AC22" s="49">
        <f>COUNT(F22,G22,H22,I22,J22,K22,M22,N22,O22,Q22,R22,S22,T22,V22,W22)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/>
      <c r="G23" s="44" t="n"/>
      <c r="H23" s="44" t="n"/>
      <c r="I23" s="44" t="n"/>
      <c r="J23" s="44" t="n"/>
      <c r="K23" s="44" t="n"/>
      <c r="L23" s="45">
        <f>IF(COUNT(F23:K23)=0,"",IFERROR(SUMPRODUCT(F23:K23,(F$5:K$5+(F$5:K$5="")))/SUMPRODUCT((F23:K23&lt;&gt;"")*(F$5:K$5+(F$5:K$5=""))),""))</f>
        <v/>
      </c>
      <c r="M23" s="44" t="n"/>
      <c r="N23" s="44" t="n"/>
      <c r="O23" s="44" t="n"/>
      <c r="P23" s="45">
        <f>IF(COUNT(M23:O23)=0,"",IFERROR(SUMPRODUCT(M23:O23,(M$5:O$5+(M$5:O$5="")))/SUMPRODUCT((M23:O23&lt;&gt;"")*(M$5:O$5+(M$5:O$5=""))),""))</f>
        <v/>
      </c>
      <c r="Q23" s="44" t="n"/>
      <c r="R23" s="44" t="n"/>
      <c r="S23" s="44" t="n"/>
      <c r="T23" s="44" t="n"/>
      <c r="U23" s="45">
        <f>IF(COUNT(Q23:T23)=0,"",IFERROR(SUMPRODUCT(Q23:T23,(Q$5:T$5+(Q$5:T$5="")))/SUMPRODUCT((Q23:T23&lt;&gt;"")*(Q$5:T$5+(Q$5:T$5=""))),""))</f>
        <v/>
      </c>
      <c r="V23" s="44" t="n"/>
      <c r="W23" s="44" t="n"/>
      <c r="X23" s="45">
        <f>IF(COUNT(V23:W23)=0,"",IFERROR(SUMPRODUCT(V23:W23,(V$5:W$5+(V$5:W$5="")))/SUMPRODUCT((V23:W23&lt;&gt;"")*(V$5:W$5+(V$5:W$5=""))),""))</f>
        <v/>
      </c>
      <c r="Y23" s="45">
        <f>IFERROR(IF((ISNUMBER(P23)*(P$5+(P$5=""))+ISNUMBER(U23)*(U$5+(U$5=""))+ISNUMBER(X23)*(X$5+(X$5="")))=0,"",(N(P23)*(P$5+(P$5=""))+N(U23)*(U$5+(U$5=""))+N(X23)*(X$5+(X$5="")))/(ISNUMBER(P23)*(P$5+(P$5=""))+ISNUMBER(U23)*(U$5+(U$5=""))+ISNUMBER(X23)*(X$5+(X$5="")))),"")</f>
        <v/>
      </c>
      <c r="Z23" s="46">
        <f>IF(AND(ISNUMBER(L23),ISNUMBER(Y23)),L23*Y23,"")</f>
        <v/>
      </c>
      <c r="AA23" s="47">
        <f>IF(ISNUMBER(Z23),(Z23-1)/24,"")</f>
        <v/>
      </c>
      <c r="AB23" s="48">
        <f>IF(ISNUMBER(Z23),COUNTIF(Z$7:Z$27,"&gt;"&amp;Z23)+1,"")</f>
        <v/>
      </c>
      <c r="AC23" s="49">
        <f>COUNT(F23,G23,H23,I23,J23,K23,M23,N23,O23,Q23,R23,S23,T23,V23,W23)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/>
      <c r="G24" s="44" t="n"/>
      <c r="H24" s="44" t="n"/>
      <c r="I24" s="44" t="n"/>
      <c r="J24" s="44" t="n"/>
      <c r="K24" s="44" t="n"/>
      <c r="L24" s="45">
        <f>IF(COUNT(F24:K24)=0,"",IFERROR(SUMPRODUCT(F24:K24,(F$5:K$5+(F$5:K$5="")))/SUMPRODUCT((F24:K24&lt;&gt;"")*(F$5:K$5+(F$5:K$5=""))),""))</f>
        <v/>
      </c>
      <c r="M24" s="44" t="n"/>
      <c r="N24" s="44" t="n"/>
      <c r="O24" s="44" t="n"/>
      <c r="P24" s="45">
        <f>IF(COUNT(M24:O24)=0,"",IFERROR(SUMPRODUCT(M24:O24,(M$5:O$5+(M$5:O$5="")))/SUMPRODUCT((M24:O24&lt;&gt;"")*(M$5:O$5+(M$5:O$5=""))),""))</f>
        <v/>
      </c>
      <c r="Q24" s="44" t="n"/>
      <c r="R24" s="44" t="n"/>
      <c r="S24" s="44" t="n"/>
      <c r="T24" s="44" t="n"/>
      <c r="U24" s="45">
        <f>IF(COUNT(Q24:T24)=0,"",IFERROR(SUMPRODUCT(Q24:T24,(Q$5:T$5+(Q$5:T$5="")))/SUMPRODUCT((Q24:T24&lt;&gt;"")*(Q$5:T$5+(Q$5:T$5=""))),""))</f>
        <v/>
      </c>
      <c r="V24" s="44" t="n"/>
      <c r="W24" s="44" t="n"/>
      <c r="X24" s="45">
        <f>IF(COUNT(V24:W24)=0,"",IFERROR(SUMPRODUCT(V24:W24,(V$5:W$5+(V$5:W$5="")))/SUMPRODUCT((V24:W24&lt;&gt;"")*(V$5:W$5+(V$5:W$5=""))),""))</f>
        <v/>
      </c>
      <c r="Y24" s="45">
        <f>IFERROR(IF((ISNUMBER(P24)*(P$5+(P$5=""))+ISNUMBER(U24)*(U$5+(U$5=""))+ISNUMBER(X24)*(X$5+(X$5="")))=0,"",(N(P24)*(P$5+(P$5=""))+N(U24)*(U$5+(U$5=""))+N(X24)*(X$5+(X$5="")))/(ISNUMBER(P24)*(P$5+(P$5=""))+ISNUMBER(U24)*(U$5+(U$5=""))+ISNUMBER(X24)*(X$5+(X$5="")))),"")</f>
        <v/>
      </c>
      <c r="Z24" s="46">
        <f>IF(AND(ISNUMBER(L24),ISNUMBER(Y24)),L24*Y24,"")</f>
        <v/>
      </c>
      <c r="AA24" s="47">
        <f>IF(ISNUMBER(Z24),(Z24-1)/24,"")</f>
        <v/>
      </c>
      <c r="AB24" s="48">
        <f>IF(ISNUMBER(Z24),COUNTIF(Z$7:Z$27,"&gt;"&amp;Z24)+1,"")</f>
        <v/>
      </c>
      <c r="AC24" s="49">
        <f>COUNT(F24,G24,H24,I24,J24,K24,M24,N24,O24,Q24,R24,S24,T24,V24,W24)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/>
      <c r="G25" s="44" t="n"/>
      <c r="H25" s="44" t="n"/>
      <c r="I25" s="44" t="n"/>
      <c r="J25" s="44" t="n"/>
      <c r="K25" s="44" t="n"/>
      <c r="L25" s="45">
        <f>IF(COUNT(F25:K25)=0,"",IFERROR(SUMPRODUCT(F25:K25,(F$5:K$5+(F$5:K$5="")))/SUMPRODUCT((F25:K25&lt;&gt;"")*(F$5:K$5+(F$5:K$5=""))),""))</f>
        <v/>
      </c>
      <c r="M25" s="44" t="n"/>
      <c r="N25" s="44" t="n"/>
      <c r="O25" s="44" t="n"/>
      <c r="P25" s="45">
        <f>IF(COUNT(M25:O25)=0,"",IFERROR(SUMPRODUCT(M25:O25,(M$5:O$5+(M$5:O$5="")))/SUMPRODUCT((M25:O25&lt;&gt;"")*(M$5:O$5+(M$5:O$5=""))),""))</f>
        <v/>
      </c>
      <c r="Q25" s="44" t="n"/>
      <c r="R25" s="44" t="n"/>
      <c r="S25" s="44" t="n"/>
      <c r="T25" s="44" t="n"/>
      <c r="U25" s="45">
        <f>IF(COUNT(Q25:T25)=0,"",IFERROR(SUMPRODUCT(Q25:T25,(Q$5:T$5+(Q$5:T$5="")))/SUMPRODUCT((Q25:T25&lt;&gt;"")*(Q$5:T$5+(Q$5:T$5=""))),""))</f>
        <v/>
      </c>
      <c r="V25" s="44" t="n"/>
      <c r="W25" s="44" t="n"/>
      <c r="X25" s="45">
        <f>IF(COUNT(V25:W25)=0,"",IFERROR(SUMPRODUCT(V25:W25,(V$5:W$5+(V$5:W$5="")))/SUMPRODUCT((V25:W25&lt;&gt;"")*(V$5:W$5+(V$5:W$5=""))),""))</f>
        <v/>
      </c>
      <c r="Y25" s="45">
        <f>IFERROR(IF((ISNUMBER(P25)*(P$5+(P$5=""))+ISNUMBER(U25)*(U$5+(U$5=""))+ISNUMBER(X25)*(X$5+(X$5="")))=0,"",(N(P25)*(P$5+(P$5=""))+N(U25)*(U$5+(U$5=""))+N(X25)*(X$5+(X$5="")))/(ISNUMBER(P25)*(P$5+(P$5=""))+ISNUMBER(U25)*(U$5+(U$5=""))+ISNUMBER(X25)*(X$5+(X$5="")))),"")</f>
        <v/>
      </c>
      <c r="Z25" s="46">
        <f>IF(AND(ISNUMBER(L25),ISNUMBER(Y25)),L25*Y25,"")</f>
        <v/>
      </c>
      <c r="AA25" s="47">
        <f>IF(ISNUMBER(Z25),(Z25-1)/24,"")</f>
        <v/>
      </c>
      <c r="AB25" s="48">
        <f>IF(ISNUMBER(Z25),COUNTIF(Z$7:Z$27,"&gt;"&amp;Z25)+1,"")</f>
        <v/>
      </c>
      <c r="AC25" s="49">
        <f>COUNT(F25,G25,H25,I25,J25,K25,M25,N25,O25,Q25,R25,S25,T25,V25,W25)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/>
      <c r="G26" s="44" t="n"/>
      <c r="H26" s="44" t="n"/>
      <c r="I26" s="44" t="n"/>
      <c r="J26" s="44" t="n"/>
      <c r="K26" s="44" t="n"/>
      <c r="L26" s="45">
        <f>IF(COUNT(F26:K26)=0,"",IFERROR(SUMPRODUCT(F26:K26,(F$5:K$5+(F$5:K$5="")))/SUMPRODUCT((F26:K26&lt;&gt;"")*(F$5:K$5+(F$5:K$5=""))),""))</f>
        <v/>
      </c>
      <c r="M26" s="44" t="n"/>
      <c r="N26" s="44" t="n"/>
      <c r="O26" s="44" t="n"/>
      <c r="P26" s="45">
        <f>IF(COUNT(M26:O26)=0,"",IFERROR(SUMPRODUCT(M26:O26,(M$5:O$5+(M$5:O$5="")))/SUMPRODUCT((M26:O26&lt;&gt;"")*(M$5:O$5+(M$5:O$5=""))),""))</f>
        <v/>
      </c>
      <c r="Q26" s="44" t="n"/>
      <c r="R26" s="44" t="n"/>
      <c r="S26" s="44" t="n"/>
      <c r="T26" s="44" t="n"/>
      <c r="U26" s="45">
        <f>IF(COUNT(Q26:T26)=0,"",IFERROR(SUMPRODUCT(Q26:T26,(Q$5:T$5+(Q$5:T$5="")))/SUMPRODUCT((Q26:T26&lt;&gt;"")*(Q$5:T$5+(Q$5:T$5=""))),""))</f>
        <v/>
      </c>
      <c r="V26" s="44" t="n"/>
      <c r="W26" s="44" t="n"/>
      <c r="X26" s="45">
        <f>IF(COUNT(V26:W26)=0,"",IFERROR(SUMPRODUCT(V26:W26,(V$5:W$5+(V$5:W$5="")))/SUMPRODUCT((V26:W26&lt;&gt;"")*(V$5:W$5+(V$5:W$5=""))),""))</f>
        <v/>
      </c>
      <c r="Y26" s="45">
        <f>IFERROR(IF((ISNUMBER(P26)*(P$5+(P$5=""))+ISNUMBER(U26)*(U$5+(U$5=""))+ISNUMBER(X26)*(X$5+(X$5="")))=0,"",(N(P26)*(P$5+(P$5=""))+N(U26)*(U$5+(U$5=""))+N(X26)*(X$5+(X$5="")))/(ISNUMBER(P26)*(P$5+(P$5=""))+ISNUMBER(U26)*(U$5+(U$5=""))+ISNUMBER(X26)*(X$5+(X$5="")))),"")</f>
        <v/>
      </c>
      <c r="Z26" s="46">
        <f>IF(AND(ISNUMBER(L26),ISNUMBER(Y26)),L26*Y26,"")</f>
        <v/>
      </c>
      <c r="AA26" s="47">
        <f>IF(ISNUMBER(Z26),(Z26-1)/24,"")</f>
        <v/>
      </c>
      <c r="AB26" s="48">
        <f>IF(ISNUMBER(Z26),COUNTIF(Z$7:Z$27,"&gt;"&amp;Z26)+1,"")</f>
        <v/>
      </c>
      <c r="AC26" s="49">
        <f>COUNT(F26,G26,H26,I26,J26,K26,M26,N26,O26,Q26,R26,S26,T26,V26,W26)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/>
      <c r="G27" s="44" t="n"/>
      <c r="H27" s="44" t="n"/>
      <c r="I27" s="44" t="n"/>
      <c r="J27" s="44" t="n"/>
      <c r="K27" s="44" t="n"/>
      <c r="L27" s="45">
        <f>IF(COUNT(F27:K27)=0,"",IFERROR(SUMPRODUCT(F27:K27,(F$5:K$5+(F$5:K$5="")))/SUMPRODUCT((F27:K27&lt;&gt;"")*(F$5:K$5+(F$5:K$5=""))),""))</f>
        <v/>
      </c>
      <c r="M27" s="44" t="n"/>
      <c r="N27" s="44" t="n"/>
      <c r="O27" s="44" t="n"/>
      <c r="P27" s="45">
        <f>IF(COUNT(M27:O27)=0,"",IFERROR(SUMPRODUCT(M27:O27,(M$5:O$5+(M$5:O$5="")))/SUMPRODUCT((M27:O27&lt;&gt;"")*(M$5:O$5+(M$5:O$5=""))),""))</f>
        <v/>
      </c>
      <c r="Q27" s="44" t="n"/>
      <c r="R27" s="44" t="n"/>
      <c r="S27" s="44" t="n"/>
      <c r="T27" s="44" t="n"/>
      <c r="U27" s="45">
        <f>IF(COUNT(Q27:T27)=0,"",IFERROR(SUMPRODUCT(Q27:T27,(Q$5:T$5+(Q$5:T$5="")))/SUMPRODUCT((Q27:T27&lt;&gt;"")*(Q$5:T$5+(Q$5:T$5=""))),""))</f>
        <v/>
      </c>
      <c r="V27" s="44" t="n"/>
      <c r="W27" s="44" t="n"/>
      <c r="X27" s="45">
        <f>IF(COUNT(V27:W27)=0,"",IFERROR(SUMPRODUCT(V27:W27,(V$5:W$5+(V$5:W$5="")))/SUMPRODUCT((V27:W27&lt;&gt;"")*(V$5:W$5+(V$5:W$5=""))),""))</f>
        <v/>
      </c>
      <c r="Y27" s="45">
        <f>IFERROR(IF((ISNUMBER(P27)*(P$5+(P$5=""))+ISNUMBER(U27)*(U$5+(U$5=""))+ISNUMBER(X27)*(X$5+(X$5="")))=0,"",(N(P27)*(P$5+(P$5=""))+N(U27)*(U$5+(U$5=""))+N(X27)*(X$5+(X$5="")))/(ISNUMBER(P27)*(P$5+(P$5=""))+ISNUMBER(U27)*(U$5+(U$5=""))+ISNUMBER(X27)*(X$5+(X$5="")))),"")</f>
        <v/>
      </c>
      <c r="Z27" s="46">
        <f>IF(AND(ISNUMBER(L27),ISNUMBER(Y27)),L27*Y27,"")</f>
        <v/>
      </c>
      <c r="AA27" s="47">
        <f>IF(ISNUMBER(Z27),(Z27-1)/24,"")</f>
        <v/>
      </c>
      <c r="AB27" s="48">
        <f>IF(ISNUMBER(Z27),COUNTIF(Z$7:Z$27,"&gt;"&amp;Z27)+1,"")</f>
        <v/>
      </c>
      <c r="AC27" s="49">
        <f>COUNT(F27,G27,H27,I27,J27,K27,M27,N27,O27,Q27,R27,S27,T27,V27,W27)</f>
        <v/>
      </c>
    </row>
    <row r="29">
      <c r="A29" s="21" t="inlineStr">
        <is>
          <t>Como o cálculo funciona:</t>
        </is>
      </c>
    </row>
    <row r="30">
      <c r="A30" s="50" t="inlineStr">
        <is>
          <t>• Nota do critério = média ponderada das notas dos subcritérios preenchidos (pesos da linha 5; vazio = 1).</t>
        </is>
      </c>
    </row>
    <row r="31">
      <c r="A31" s="50" t="inlineStr">
        <is>
          <t>• Consequência = média ponderada das notas de Exposição, Vulnerabilidade e Impacto (pesos da linha 5 nas colunas cinza 'Nota').</t>
        </is>
      </c>
    </row>
    <row r="32">
      <c r="A32" s="50" t="inlineStr">
        <is>
          <t>• Risco = nota da Probabilidade × Consequência (1 a 25).</t>
        </is>
      </c>
    </row>
    <row r="33">
      <c r="A33" s="50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0" t="inlineStr">
        <is>
          <t>• Posição = ranking pelo Risco (1 = maior risco). Empates recebem a mesma posição.</t>
        </is>
      </c>
    </row>
  </sheetData>
  <mergeCells count="5">
    <mergeCell ref="Y4:AC4"/>
    <mergeCell ref="M4:P4"/>
    <mergeCell ref="F4:L4"/>
    <mergeCell ref="V4:X4"/>
    <mergeCell ref="Q4:U4"/>
  </mergeCells>
  <conditionalFormatting sqref="AA7:AA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F7:F27 G7:G27 H7:H27 I7:I27 J7:J27 K7:K27 M7:M27 N7:N27 O7:O27 Q7:Q27 R7:R27 S7:S27 T7:T27 V7:V27 W7:W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F5 G5 H5 I5 J5 K5 M5 N5 O5 P5 Q5 R5 S5 T5 U5 V5 W5 X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1" t="inlineStr">
        <is>
          <t>Para quem não participou das discussões do modelo. Os papéis dos órgãos são uma leitura preliminar, ainda não confirmada com cada órgão.</t>
        </is>
      </c>
    </row>
    <row r="4">
      <c r="A4" s="52" t="inlineStr">
        <is>
          <t>Grupo</t>
        </is>
      </c>
      <c r="B4" s="52" t="inlineStr">
        <is>
          <t>Termo</t>
        </is>
      </c>
      <c r="C4" s="52" t="inlineStr">
        <is>
          <t>O que significa</t>
        </is>
      </c>
      <c r="D4" s="52" t="inlineStr">
        <is>
          <t>Exemplo no projeto</t>
        </is>
      </c>
    </row>
    <row r="5">
      <c r="A5" s="53" t="inlineStr">
        <is>
          <t>Modelo de risco</t>
        </is>
      </c>
      <c r="B5" s="54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3" t="inlineStr">
        <is>
          <t>Modelo de risco</t>
        </is>
      </c>
      <c r="B6" s="54" t="inlineStr">
        <is>
          <t>Critério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 critério.</t>
        </is>
      </c>
    </row>
    <row r="7">
      <c r="A7" s="53" t="inlineStr">
        <is>
          <t>Modelo de risco</t>
        </is>
      </c>
      <c r="B7" s="54" t="inlineStr">
        <is>
          <t>Subcritério</t>
        </is>
      </c>
      <c r="C7" s="43" t="inlineStr">
        <is>
          <t>Um item medível dentro de um critério. Cada subcritério recebe uma nota de 1 a 5.</t>
        </is>
      </c>
      <c r="D7" s="43" t="inlineStr">
        <is>
          <t>População (E1) é um subcritério da Exposição.</t>
        </is>
      </c>
    </row>
    <row r="8">
      <c r="A8" s="53" t="inlineStr">
        <is>
          <t>Modelo de risco</t>
        </is>
      </c>
      <c r="B8" s="54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3" t="inlineStr">
        <is>
          <t>Modelo de risco</t>
        </is>
      </c>
      <c r="B9" s="54" t="inlineStr">
        <is>
          <t>Exposição</t>
        </is>
      </c>
      <c r="C9" s="43" t="inlineStr">
        <is>
          <t>Quem e o que está no caminho da água dentro do círculo de 300 m: moradores, escolas, unidades de saúde, comércio.</t>
        </is>
      </c>
      <c r="D9" s="43" t="inlineStr">
        <is>
          <t>Um ponto com muitas escolas por perto tem Equipamentos sensíveis (E2) alto.</t>
        </is>
      </c>
    </row>
    <row r="10">
      <c r="A10" s="53" t="inlineStr">
        <is>
          <t>Modelo de risco</t>
        </is>
      </c>
      <c r="B10" s="54" t="inlineStr">
        <is>
          <t>Vulnerabilidade</t>
        </is>
      </c>
      <c r="C10" s="43" t="inlineStr">
        <is>
          <t>Quanto quem está ali tem dificuldade de lidar com o alagamento: idosos e crianças, favelas e comunidades, moradia térrea.</t>
        </is>
      </c>
      <c r="D10" s="43" t="inlineStr">
        <is>
          <t>Área com muitas casas térreas tem Tipo de moradia (V4) alto.</t>
        </is>
      </c>
    </row>
    <row r="11">
      <c r="A11" s="53" t="inlineStr">
        <is>
          <t>Modelo de risco</t>
        </is>
      </c>
      <c r="B11" s="54" t="inlineStr">
        <is>
          <t>Impacto</t>
        </is>
      </c>
      <c r="C11" s="43" t="inlineStr">
        <is>
          <t>Consequência que vai além do local: mobilidade da cidade e saúde pública (esgoto).</t>
        </is>
      </c>
      <c r="D11" s="43" t="inlineStr">
        <is>
          <t>Alagamento numa avenida arterial com ônibus tem Mobilidade (I1) alta.</t>
        </is>
      </c>
    </row>
    <row r="12">
      <c r="A12" s="53" t="inlineStr">
        <is>
          <t>Modelo de risco</t>
        </is>
      </c>
      <c r="B12" s="54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3" t="inlineStr">
        <is>
          <t>Modelo de risco</t>
        </is>
      </c>
      <c r="B13" s="54" t="inlineStr">
        <is>
          <t>Nota (1 a 5)</t>
        </is>
      </c>
      <c r="C13" s="43" t="inlineStr">
        <is>
          <t>Valor dado a cada subcritério. 5 = mais crítico, 1 = menos crítico.</t>
        </is>
      </c>
      <c r="D13" s="43" t="inlineStr">
        <is>
          <t>Nota 5 em Maré (P3) = o ponto alaga conforme a maré.</t>
        </is>
      </c>
    </row>
    <row r="14">
      <c r="A14" s="53" t="inlineStr">
        <is>
          <t>Modelo de risco</t>
        </is>
      </c>
      <c r="B14" s="54" t="inlineStr">
        <is>
          <t>Peso</t>
        </is>
      </c>
      <c r="C14" s="43" t="inlineStr">
        <is>
          <t>Importância relativa de um subcritério dentro do critério, ou de um critério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3" t="inlineStr">
        <is>
          <t>Modelo de risco</t>
        </is>
      </c>
      <c r="B15" s="54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3" t="inlineStr">
        <is>
          <t>Modelo de risco</t>
        </is>
      </c>
      <c r="B16" s="54" t="inlineStr">
        <is>
          <t>Cobertura</t>
        </is>
      </c>
      <c r="C16" s="43" t="inlineStr">
        <is>
          <t>Quantos subcritérios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3" t="inlineStr">
        <is>
          <t>Modelo de risco</t>
        </is>
      </c>
      <c r="B17" s="54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3" t="inlineStr">
        <is>
          <t>Modelo de risco</t>
        </is>
      </c>
      <c r="B18" s="54" t="inlineStr">
        <is>
          <t>Tratabilidade</t>
        </is>
      </c>
      <c r="C18" s="43" t="inlineStr">
        <is>
          <t>Se é fácil agir no ponto (governança, natureza da causa, obra ou orçamento em andamento). Fica FORA do risco. 5 = mais fácil.</t>
        </is>
      </c>
      <c r="D18" s="43" t="inlineStr">
        <is>
          <t>Ponto com dono definido e causa de manutenção tem tratabilidade alta.</t>
        </is>
      </c>
    </row>
    <row r="19">
      <c r="A19" s="53" t="inlineStr">
        <is>
          <t>Modelo de risco</t>
        </is>
      </c>
      <c r="B19" s="54" t="inlineStr">
        <is>
          <t>Matriz risco × tratabilidade</t>
        </is>
      </c>
      <c r="C19" s="43" t="inlineStr">
        <is>
          <t>Cruza o risco (corte em 9) com a tratabilidade (corte em 3) e coloca cada ponto num de 4 quadrantes.</t>
        </is>
      </c>
      <c r="D19" s="43" t="inlineStr">
        <is>
          <t>Risco 12 e tratabilidade 4 = quadrante Agir já.</t>
        </is>
      </c>
    </row>
    <row r="20">
      <c r="A20" s="53" t="inlineStr">
        <is>
          <t>Modelo de risco</t>
        </is>
      </c>
      <c r="B20" s="54" t="inlineStr">
        <is>
          <t>Agir já / Estruturar / Oportunidade / Monitorar</t>
        </is>
      </c>
      <c r="C20" s="43" t="inlineStr">
        <is>
          <t>Quadrantes da matriz. Agir já: risco alto, fácil de agir. Estruturar: risco alto, difícil (exige articulação). Oportunidade: risco baixo, fácil. Monitorar: risco baixo, difícil.</t>
        </is>
      </c>
      <c r="D20" s="43" t="inlineStr"/>
    </row>
    <row r="21">
      <c r="A21" s="53" t="inlineStr">
        <is>
          <t>Modelo de risco</t>
        </is>
      </c>
      <c r="B21" s="54" t="inlineStr">
        <is>
          <t>Diagnóstico de causa</t>
        </is>
      </c>
      <c r="C21" s="43" t="inlineStr">
        <is>
          <t>Por que o ponto alaga (drenagem obstruída, subdimensionada, maré, esgoto). Fica fora do risco e indica qual órgão age.</t>
        </is>
      </c>
      <c r="D21" s="43" t="inlineStr">
        <is>
          <t>Galeria assoreada → EMLURB (manutenção).</t>
        </is>
      </c>
    </row>
    <row r="22">
      <c r="A22" s="53" t="inlineStr">
        <is>
          <t>Modelo de risco</t>
        </is>
      </c>
      <c r="B22" s="54" t="inlineStr">
        <is>
          <t>Análise de sensibilidade</t>
        </is>
      </c>
      <c r="C22" s="43" t="inlineStr">
        <is>
          <t>Recalcular o ranking com outros pesos (ex.: pesos iguais) para ver se o resultado depende demais dos pesos escolhidos.</t>
        </is>
      </c>
      <c r="D22" s="43" t="inlineStr">
        <is>
          <t>Se o top 5 muda muito, avisar a alta gestão.</t>
        </is>
      </c>
    </row>
    <row r="23">
      <c r="A23" s="55" t="inlineStr">
        <is>
          <t>Tipo de nota</t>
        </is>
      </c>
      <c r="B23" s="54" t="inlineStr">
        <is>
          <t>Faixa fixa</t>
        </is>
      </c>
      <c r="C23" s="43" t="inlineStr">
        <is>
          <t>O valor medido cai numa faixa definida antes da coleta. A nota não depende dos outros pontos.</t>
        </is>
      </c>
      <c r="D23" s="43" t="inlineStr">
        <is>
          <t>P1: 5 alagamentos/ano cai em '5–6' = nota 4.</t>
        </is>
      </c>
    </row>
    <row r="24">
      <c r="A24" s="55" t="inlineStr">
        <is>
          <t>Tipo de nota</t>
        </is>
      </c>
      <c r="B24" s="54" t="inlineStr">
        <is>
          <t>Classe</t>
        </is>
      </c>
      <c r="C24" s="43" t="inlineStr">
        <is>
          <t>O ponto é encaixado numa categoria descritiva, não num número.</t>
        </is>
      </c>
      <c r="D24" s="43" t="inlineStr">
        <is>
          <t>P3: 'agrava ocasionalmente' = nota 3.</t>
        </is>
      </c>
    </row>
    <row r="25">
      <c r="A25" s="55" t="inlineStr">
        <is>
          <t>Tipo de nota</t>
        </is>
      </c>
      <c r="B25" s="54" t="inlineStr">
        <is>
          <t>Quintil</t>
        </is>
      </c>
      <c r="C25" s="43" t="inlineStr">
        <is>
          <t>Nota relativa entre os 21 pontos: os valores são ordenados e divididos em 5 grupos de ~4 pontos. Os 20% menores recebem 1; os 20% maiores, 5.</t>
        </is>
      </c>
      <c r="D25" s="43" t="inlineStr">
        <is>
          <t>E1: os ~4 pontos com mais moradores recebem nota 5.</t>
        </is>
      </c>
    </row>
    <row r="26">
      <c r="A26" s="55" t="inlineStr">
        <is>
          <t>Tipo de nota</t>
        </is>
      </c>
      <c r="B26" s="54" t="inlineStr">
        <is>
          <t>Quintil invertido</t>
        </is>
      </c>
      <c r="C26" s="43" t="inlineStr">
        <is>
          <t>Igual ao quintil, mas o MENOR valor recebe a nota mais alta.</t>
        </is>
      </c>
      <c r="D26" s="43" t="inlineStr">
        <is>
          <t>P4: o ponto mais perto do rio recebe nota 5.</t>
        </is>
      </c>
    </row>
    <row r="27">
      <c r="A27" s="55" t="inlineStr">
        <is>
          <t>Tipo de nota</t>
        </is>
      </c>
      <c r="B27" s="54" t="inlineStr">
        <is>
          <t>Faixa provisória</t>
        </is>
      </c>
      <c r="C27" s="43" t="inlineStr">
        <is>
          <t>Faixa proposta antes de ver os dados reais. Deve ser calibrada quando os dados chegarem.</t>
        </is>
      </c>
      <c r="D27" s="43" t="inlineStr">
        <is>
          <t>Se todos os pontos caírem na mesma faixa, ela precisa ser ajustada.</t>
        </is>
      </c>
    </row>
    <row r="28">
      <c r="A28" s="55" t="inlineStr">
        <is>
          <t>Tipo de nota</t>
        </is>
      </c>
      <c r="B28" s="54" t="inlineStr">
        <is>
          <t>Origem da faixa</t>
        </is>
      </c>
      <c r="C28" s="43" t="inlineStr">
        <is>
          <t>De onde veio a escala: planilha original da equipe, referência oficial (ex.: Ipea) ou proposta do Claude (a revisar pelo grupo).</t>
        </is>
      </c>
      <c r="D28" s="43" t="inlineStr"/>
    </row>
    <row r="29">
      <c r="A29" s="56" t="inlineStr">
        <is>
          <t>Território e SIG</t>
        </is>
      </c>
      <c r="B29" s="54" t="inlineStr">
        <is>
          <t>Ponto crítico</t>
        </is>
      </c>
      <c r="C29" s="43" t="inlineStr">
        <is>
          <t>Local da lista da EMLURB onde há alagamento recorrente. Pode ser um ponto, um trecho de rua ou vários trechos.</t>
        </is>
      </c>
      <c r="D29" s="43" t="inlineStr">
        <is>
          <t>Ponto 24 — Ipsep, Rua Blumenau (até a maré).</t>
        </is>
      </c>
    </row>
    <row r="30">
      <c r="A30" s="56" t="inlineStr">
        <is>
          <t>Território e SIG</t>
        </is>
      </c>
      <c r="B30" s="54" t="inlineStr">
        <is>
          <t>Trecho (Linha / Vários)</t>
        </is>
      </c>
      <c r="C30" s="43" t="inlineStr">
        <is>
          <t>Ponto crítico que é uma extensão de rua, não um local único. 12 dos 21 pontos são trechos.</t>
        </is>
      </c>
      <c r="D30" s="43" t="inlineStr">
        <is>
          <t>Ponto 11 — Rua Professor José Brandão (toda a extensão).</t>
        </is>
      </c>
    </row>
    <row r="31">
      <c r="A31" s="56" t="inlineStr">
        <is>
          <t>Território e SIG</t>
        </is>
      </c>
      <c r="B31" s="54" t="inlineStr">
        <is>
          <t>RPA 6</t>
        </is>
      </c>
      <c r="C31" s="43" t="inlineStr">
        <is>
          <t>Região Político-Administrativa 6 do Recife (Boa Viagem, Pina, Imbiribeira, Ipsep, Ibura, Jordão, entre outros bairros). Escopo do piloto.</t>
        </is>
      </c>
      <c r="D31" s="43" t="inlineStr"/>
    </row>
    <row r="32">
      <c r="A32" s="56" t="inlineStr">
        <is>
          <t>Território e SIG</t>
        </is>
      </c>
      <c r="B32" s="54" t="inlineStr">
        <is>
          <t>SIG</t>
        </is>
      </c>
      <c r="C32" s="43" t="inlineStr">
        <is>
          <t>Sistema de Informação Geográfica: programa para mapas e cálculos espaciais. Usamos o ArcGIS Pro.</t>
        </is>
      </c>
      <c r="D32" s="43" t="inlineStr"/>
    </row>
    <row r="33">
      <c r="A33" s="56" t="inlineStr">
        <is>
          <t>Território e SIG</t>
        </is>
      </c>
      <c r="B33" s="54" t="inlineStr">
        <is>
          <t>Círculo de 300 m (buffer)</t>
        </is>
      </c>
      <c r="C33" s="43" t="inlineStr">
        <is>
          <t>Área de 300 m em volta do ponto (ou da linha do trecho) onde se medem os subcritérios do SIG. Usado no cálculo do risco.</t>
        </is>
      </c>
      <c r="D33" s="43" t="inlineStr">
        <is>
          <t>Moradores dentro do círculo = População (E1).</t>
        </is>
      </c>
    </row>
    <row r="34">
      <c r="A34" s="56" t="inlineStr">
        <is>
          <t>Território e SIG</t>
        </is>
      </c>
      <c r="B34" s="54" t="inlineStr">
        <is>
          <t>Área de influência de 1 km</t>
        </is>
      </c>
      <c r="C34" s="43" t="inlineStr">
        <is>
          <t>Círculo de 1 km mostrado no painel só como informação. Não entra no cálculo, porque com 1 km quase todos os pontos se sobrepõem.</t>
        </is>
      </c>
      <c r="D34" s="43" t="inlineStr"/>
    </row>
    <row r="35">
      <c r="A35" s="56" t="inlineStr">
        <is>
          <t>Território e SIG</t>
        </is>
      </c>
      <c r="B35" s="54" t="inlineStr">
        <is>
          <t>Grupo de sobreposição (G1–G5)</t>
        </is>
      </c>
      <c r="C35" s="43" t="inlineStr">
        <is>
          <t>Pontos cujos círculos de 300 m se sobrepõem. Nesses grupos os subcritérios do SIG tendem a dar notas parecidas.</t>
        </is>
      </c>
      <c r="D35" s="43" t="inlineStr">
        <is>
          <t>G1 = pontos 5, 6, 7, 11 e 12 (Conselheiro Aguiar).</t>
        </is>
      </c>
    </row>
    <row r="36">
      <c r="A36" s="56" t="inlineStr">
        <is>
          <t>Território e SIG</t>
        </is>
      </c>
      <c r="B36" s="54" t="inlineStr">
        <is>
          <t>Ponderação por área</t>
        </is>
      </c>
      <c r="C36" s="43" t="inlineStr">
        <is>
          <t>Quando uma área de dados (setor, célula) corta o círculo, conta só a parte que fica dentro dele.</t>
        </is>
      </c>
      <c r="D36" s="43" t="inlineStr">
        <is>
          <t>Setor com 40% da área no círculo contribui com 40% da população.</t>
        </is>
      </c>
    </row>
    <row r="37">
      <c r="A37" s="56" t="inlineStr">
        <is>
          <t>Território e SIG</t>
        </is>
      </c>
      <c r="B37" s="54" t="inlineStr">
        <is>
          <t>EPSG:31985 (SIRGAS 2000 / UTM 25S)</t>
        </is>
      </c>
      <c r="C37" s="43" t="inlineStr">
        <is>
          <t>Sistema de coordenadas usado no projeto. Todas as camadas precisam estar nele antes dos cálculos.</t>
        </is>
      </c>
      <c r="D37" s="43" t="inlineStr"/>
    </row>
    <row r="38">
      <c r="A38" s="56" t="inlineStr">
        <is>
          <t>Território e SIG</t>
        </is>
      </c>
      <c r="B38" s="54" t="inlineStr">
        <is>
          <t>Coordenada aproximada / verificada</t>
        </is>
      </c>
      <c r="C38" s="43" t="inlineStr">
        <is>
          <t>Aproximada = localizada automaticamente e ainda não conferida. Verificada = conferida com a EMLURB ou por imagem de satélite.</t>
        </is>
      </c>
      <c r="D38" s="43" t="inlineStr">
        <is>
          <t>Hoje nenhuma das 21 coordenadas está verificada.</t>
        </is>
      </c>
    </row>
    <row r="39">
      <c r="A39" s="56" t="inlineStr">
        <is>
          <t>Território e SIG</t>
        </is>
      </c>
      <c r="B39" s="54" t="inlineStr">
        <is>
          <t>Bacia / sub-bacia</t>
        </is>
      </c>
      <c r="C39" s="43" t="inlineStr">
        <is>
          <t>Área que drena para um mesmo rio ou canal. Hierarquia do Plano de Drenagem: Bacia → Sub-bacia → Ponto crítico → Obra.</t>
        </is>
      </c>
      <c r="D39" s="43" t="inlineStr">
        <is>
          <t>Usada para ligar obras aos pontos.</t>
        </is>
      </c>
    </row>
    <row r="40">
      <c r="A40" s="56" t="inlineStr">
        <is>
          <t>Território e SIG</t>
        </is>
      </c>
      <c r="B40" s="54" t="inlineStr">
        <is>
          <t>Shapefile / GeoJSON</t>
        </is>
      </c>
      <c r="C40" s="43" t="inlineStr">
        <is>
          <t>Formatos de arquivo de mapa que o ArcGIS abre.</t>
        </is>
      </c>
      <c r="D40" s="43" t="inlineStr">
        <is>
          <t>dados/processados/pontos_rpa6.geojson tem os 21 pontos.</t>
        </is>
      </c>
    </row>
    <row r="41">
      <c r="A41" s="57" t="inlineStr">
        <is>
          <t>Fontes de dados</t>
        </is>
      </c>
      <c r="B41" s="54" t="inlineStr">
        <is>
          <t>Censo 2022 (IBGE)</t>
        </is>
      </c>
      <c r="C41" s="43" t="inlineStr">
        <is>
          <t>Recenseamento de 2022. Fonte de população, idade, tipo de domicílio e esgotamento.</t>
        </is>
      </c>
      <c r="D41" s="43" t="inlineStr"/>
    </row>
    <row r="42">
      <c r="A42" s="57" t="inlineStr">
        <is>
          <t>Fontes de dados</t>
        </is>
      </c>
      <c r="B42" s="54" t="inlineStr">
        <is>
          <t>Setor censitário</t>
        </is>
      </c>
      <c r="C42" s="43" t="inlineStr">
        <is>
          <t>Menor área de divulgação do Censo (no Recife adensado, poucos quarteirões).</t>
        </is>
      </c>
      <c r="D42" s="43" t="inlineStr"/>
    </row>
    <row r="43">
      <c r="A43" s="57" t="inlineStr">
        <is>
          <t>Fontes de dados</t>
        </is>
      </c>
      <c r="B43" s="54" t="inlineStr">
        <is>
          <t>Grade Estatística (IBGE)</t>
        </is>
      </c>
      <c r="C43" s="43" t="inlineStr">
        <is>
          <t>Malha de quadrados de 200 × 200 m (área urbana) com a população do Censo 2022.</t>
        </is>
      </c>
      <c r="D43" s="43" t="inlineStr">
        <is>
          <t>Fonte do E1.</t>
        </is>
      </c>
    </row>
    <row r="44">
      <c r="A44" s="57" t="inlineStr">
        <is>
          <t>Fontes de dados</t>
        </is>
      </c>
      <c r="B44" s="54" t="inlineStr">
        <is>
          <t>CNEFE (IBGE)</t>
        </is>
      </c>
      <c r="C44" s="43" t="inlineStr">
        <is>
          <t>Cadastro de endereços do Censo 2022, com coordenada e tipo de uso (domicílio, ensino, saúde, outras finalidades).</t>
        </is>
      </c>
      <c r="D44" s="43" t="inlineStr">
        <is>
          <t>Fonte do E2 e do E3.</t>
        </is>
      </c>
    </row>
    <row r="45">
      <c r="A45" s="57" t="inlineStr">
        <is>
          <t>Fontes de dados</t>
        </is>
      </c>
      <c r="B45" s="54" t="inlineStr">
        <is>
          <t>Favelas e Comunidades Urbanas (IBGE)</t>
        </is>
      </c>
      <c r="C45" s="43" t="inlineStr">
        <is>
          <t>Mapeamento do IBGE das favelas e comunidades urbanas no Censo 2022. Publicação da malha ainda não confirmada.</t>
        </is>
      </c>
      <c r="D45" s="43" t="inlineStr">
        <is>
          <t>Fonte do V3.</t>
        </is>
      </c>
    </row>
    <row r="46">
      <c r="A46" s="57" t="inlineStr">
        <is>
          <t>Fontes de dados</t>
        </is>
      </c>
      <c r="B46" s="54" t="inlineStr">
        <is>
          <t>IVS (Ipea)</t>
        </is>
      </c>
      <c r="C46" s="43" t="inlineStr">
        <is>
          <t>Índice de Vulnerabilidade Social do Ipea, de 0 a 1 (quanto maior, mais vulnerável). Base do Censo 2010.</t>
        </is>
      </c>
      <c r="D46" s="43" t="inlineStr">
        <is>
          <t>Plano B do V3.</t>
        </is>
      </c>
    </row>
    <row r="47">
      <c r="A47" s="57" t="inlineStr">
        <is>
          <t>Fontes de dados</t>
        </is>
      </c>
      <c r="B47" s="54" t="inlineStr">
        <is>
          <t>UDH</t>
        </is>
      </c>
      <c r="C47" s="43" t="inlineStr">
        <is>
          <t>Unidade de Desenvolvimento Humano: área usada pelo Ipea, maior que o setor censitário.</t>
        </is>
      </c>
      <c r="D47" s="43" t="inlineStr"/>
    </row>
    <row r="48">
      <c r="A48" s="57" t="inlineStr">
        <is>
          <t>Fontes de dados</t>
        </is>
      </c>
      <c r="B48" s="54" t="inlineStr">
        <is>
          <t>MapBiomas</t>
        </is>
      </c>
      <c r="C48" s="43" t="inlineStr">
        <is>
          <t>Mapa de cobertura do solo (vegetação, área construída etc.) com pixels de 30 m. Não verificado.</t>
        </is>
      </c>
      <c r="D48" s="43" t="inlineStr">
        <is>
          <t>Fonte do P5.</t>
        </is>
      </c>
    </row>
    <row r="49">
      <c r="A49" s="57" t="inlineStr">
        <is>
          <t>Fontes de dados</t>
        </is>
      </c>
      <c r="B49" s="54" t="inlineStr">
        <is>
          <t>ESIG</t>
        </is>
      </c>
      <c r="C49" s="43" t="inlineStr">
        <is>
          <t>Sistema de informações geográficas da Prefeitura do Recife (vias, lotes, edificações, recursos hídricos).</t>
        </is>
      </c>
      <c r="D49" s="43" t="inlineStr"/>
    </row>
    <row r="50">
      <c r="A50" s="57" t="inlineStr">
        <is>
          <t>Fontes de dados</t>
        </is>
      </c>
      <c r="B50" s="54" t="inlineStr">
        <is>
          <t>CNES / DATASUS</t>
        </is>
      </c>
      <c r="C50" s="43" t="inlineStr">
        <is>
          <t>Cadastro Nacional de Estabelecimentos de Saúde.</t>
        </is>
      </c>
      <c r="D50" s="43" t="inlineStr">
        <is>
          <t>Complementa o E2.</t>
        </is>
      </c>
    </row>
    <row r="51">
      <c r="A51" s="57" t="inlineStr">
        <is>
          <t>Fontes de dados</t>
        </is>
      </c>
      <c r="B51" s="54" t="inlineStr">
        <is>
          <t>APAC / Cemaden</t>
        </is>
      </c>
      <c r="C51" s="43" t="inlineStr">
        <is>
          <t>Agência Pernambucana de Águas e Clima / Centro Nacional de Monitoramento de Desastres: dados de chuva e marés.</t>
        </is>
      </c>
      <c r="D51" s="43" t="inlineStr"/>
    </row>
    <row r="52">
      <c r="A52" s="57" t="inlineStr">
        <is>
          <t>Fontes de dados</t>
        </is>
      </c>
      <c r="B52" s="54" t="inlineStr">
        <is>
          <t>PMDR</t>
        </is>
      </c>
      <c r="C52" s="43" t="inlineStr">
        <is>
          <t>Plano Municipal de Drenagem do Recife. Define bacias e sub-bacias.</t>
        </is>
      </c>
      <c r="D52" s="43" t="inlineStr"/>
    </row>
    <row r="53">
      <c r="A53" s="57" t="inlineStr">
        <is>
          <t>Fontes de dados</t>
        </is>
      </c>
      <c r="B53" s="54" t="inlineStr">
        <is>
          <t>Ficha EMLURB</t>
        </is>
      </c>
      <c r="C53" s="43" t="inlineStr">
        <is>
          <t>Formulário a ser preenchido com a EMLURB, com uma linha por ponto: localização, frequência, severidade, maré e obras ligadas.</t>
        </is>
      </c>
      <c r="D53" s="43" t="inlineStr">
        <is>
          <t>Fonte provisória de P1, P2 e P3.</t>
        </is>
      </c>
    </row>
    <row r="54">
      <c r="A54" s="58" t="inlineStr">
        <is>
          <t>Checklist</t>
        </is>
      </c>
      <c r="B54" s="54" t="inlineStr">
        <is>
          <t>Recomendação</t>
        </is>
      </c>
      <c r="C54" s="43" t="inlineStr">
        <is>
          <t>Manter = entra no modelo. Condicional = só entra se o dado existir. Plano B = usado só se outro subcritério falhar. Peso alto / menor = sugestão para a definição dos pesos.</t>
        </is>
      </c>
      <c r="D54" s="43" t="inlineStr"/>
    </row>
    <row r="55">
      <c r="A55" s="58" t="inlineStr">
        <is>
          <t>Checklist</t>
        </is>
      </c>
      <c r="B55" s="54" t="inlineStr">
        <is>
          <t>Fonte confirmada?</t>
        </is>
      </c>
      <c r="C55" s="43" t="inlineStr">
        <is>
          <t>A base de dados existe e a equipe consegue acessá-la (download ou pedido atendido).</t>
        </is>
      </c>
      <c r="D55" s="43" t="inlineStr"/>
    </row>
    <row r="56">
      <c r="A56" s="58" t="inlineStr">
        <is>
          <t>Checklist</t>
        </is>
      </c>
      <c r="B56" s="54" t="inlineStr">
        <is>
          <t>Dado existe na fonte?</t>
        </is>
      </c>
      <c r="C56" s="43" t="inlineStr">
        <is>
          <t>A variável necessária está na base, na escala do círculo de 300 m, e cobre os 21 pontos.</t>
        </is>
      </c>
      <c r="D56" s="43" t="inlineStr">
        <is>
          <t>O IBGE existe (fonte confirmada), mas falta checar se o tipo de domicílio vem por setor.</t>
        </is>
      </c>
    </row>
    <row r="57">
      <c r="A57" s="58" t="inlineStr">
        <is>
          <t>Checklist</t>
        </is>
      </c>
      <c r="B57" s="54" t="inlineStr">
        <is>
          <t>Sim / Parcial / Não / Pendente</t>
        </is>
      </c>
      <c r="C57" s="43" t="inlineStr">
        <is>
          <t>Sim = confirmado. Parcial = existe, mas com limitação (escala, cobertura, data). Não = não existe ou não é acessível. Pendente = ainda não checado.</t>
        </is>
      </c>
      <c r="D57" s="43" t="inlineStr"/>
    </row>
    <row r="58">
      <c r="A58" s="58" t="inlineStr">
        <is>
          <t>Checklist</t>
        </is>
      </c>
      <c r="B58" s="54" t="inlineStr">
        <is>
          <t>Busca prévia (Claude)</t>
        </is>
      </c>
      <c r="C58" s="43" t="inlineStr">
        <is>
          <t>O que foi encontrado em busca na internet. 'Confirmado na busca' = a base aparece como publicada, mas o arquivo não foi aberto.</t>
        </is>
      </c>
      <c r="D58" s="43" t="inlineStr"/>
    </row>
    <row r="59">
      <c r="A59" s="59" t="inlineStr">
        <is>
          <t>Órgãos</t>
        </is>
      </c>
      <c r="B59" s="54" t="inlineStr">
        <is>
          <t>COP</t>
        </is>
      </c>
      <c r="C59" s="43" t="inlineStr">
        <is>
          <t>Centro de Operações do Recife: monitoramento e resposta aos eventos.</t>
        </is>
      </c>
      <c r="D59" s="43" t="inlineStr"/>
    </row>
    <row r="60">
      <c r="A60" s="59" t="inlineStr">
        <is>
          <t>Órgãos</t>
        </is>
      </c>
      <c r="B60" s="54" t="inlineStr">
        <is>
          <t>EMLURB</t>
        </is>
      </c>
      <c r="C60" s="43" t="inlineStr">
        <is>
          <t>Empresa de Manutenção e Limpeza Urbana: manutenção da drenagem e lista de pontos críticos.</t>
        </is>
      </c>
      <c r="D60" s="43" t="inlineStr"/>
    </row>
    <row r="61">
      <c r="A61" s="59" t="inlineStr">
        <is>
          <t>Órgãos</t>
        </is>
      </c>
      <c r="B61" s="54" t="inlineStr">
        <is>
          <t>Defesa Civil (Sedec)</t>
        </is>
      </c>
      <c r="C61" s="43" t="inlineStr">
        <is>
          <t>Áreas de risco, alertas e vistorias.</t>
        </is>
      </c>
      <c r="D61" s="43" t="inlineStr"/>
    </row>
    <row r="62">
      <c r="A62" s="59" t="inlineStr">
        <is>
          <t>Órgãos</t>
        </is>
      </c>
      <c r="B62" s="54" t="inlineStr">
        <is>
          <t>URB</t>
        </is>
      </c>
      <c r="C62" s="43" t="inlineStr">
        <is>
          <t>Autarquia de Urbanização do Recife: obras urbanas e de drenagem.</t>
        </is>
      </c>
      <c r="D62" s="43" t="inlineStr"/>
    </row>
    <row r="63">
      <c r="A63" s="59" t="inlineStr">
        <is>
          <t>Órgãos</t>
        </is>
      </c>
      <c r="B63" s="54" t="inlineStr">
        <is>
          <t>CTTU</t>
        </is>
      </c>
      <c r="C63" s="43" t="inlineStr">
        <is>
          <t>Autarquia de Trânsito e Transporte Urbano: trânsito, vias e interdições.</t>
        </is>
      </c>
      <c r="D63" s="43" t="inlineStr"/>
    </row>
    <row r="64">
      <c r="A64" s="59" t="inlineStr">
        <is>
          <t>Órgãos</t>
        </is>
      </c>
      <c r="B64" s="54" t="inlineStr">
        <is>
          <t>Compesa</t>
        </is>
      </c>
      <c r="C64" s="43" t="inlineStr">
        <is>
          <t>Companhia Pernambucana de Saneamento: água e esgoto.</t>
        </is>
      </c>
      <c r="D64" s="43" t="inlineStr"/>
    </row>
    <row r="65">
      <c r="A65" s="59" t="inlineStr">
        <is>
          <t>Órgãos</t>
        </is>
      </c>
      <c r="B65" s="54" t="inlineStr">
        <is>
          <t>ProMorar</t>
        </is>
      </c>
      <c r="C65" s="43" t="inlineStr">
        <is>
          <t>Programa de urbanização de comunidades.</t>
        </is>
      </c>
      <c r="D65" s="43" t="inlineStr"/>
    </row>
    <row r="66">
      <c r="A66" s="59" t="inlineStr">
        <is>
          <t>Órgãos</t>
        </is>
      </c>
      <c r="B66" s="54" t="inlineStr">
        <is>
          <t>SEPLAG / SEPLAN</t>
        </is>
      </c>
      <c r="C66" s="43" t="inlineStr">
        <is>
          <t>Planejamento e gestão. A SEPLAN não é a SEPLAG; o papel dela no projeto ainda será definido.</t>
        </is>
      </c>
      <c r="D66" s="43" t="inlineStr"/>
    </row>
    <row r="67">
      <c r="A67" s="59" t="inlineStr">
        <is>
          <t>Órgãos</t>
        </is>
      </c>
      <c r="B67" s="54" t="inlineStr">
        <is>
          <t>Grande Recife Consórcio</t>
        </is>
      </c>
      <c r="C67" s="43" t="inlineStr">
        <is>
          <t>Consórcio de transporte metropolitano: linhas e paradas de ônibus.</t>
        </is>
      </c>
      <c r="D67" s="43" t="inlineStr"/>
    </row>
  </sheetData>
  <autoFilter ref="A4:D67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2026-10-02T16:52:41Z</dcterms:created>
  <dcterms:modified xsi:type="dcterms:W3CDTF">2026-10-02T16:52:41Z</dcterms:modified>
</cp:coreProperties>
</file>