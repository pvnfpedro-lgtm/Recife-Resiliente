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05" yWindow="-16320" windowWidth="29040" windowHeight="15720" tabRatio="600" firstSheet="0" activeTab="1" autoFilterDateGrouping="1"/>
  </bookViews>
  <sheets>
    <sheet name="Leia-me" sheetId="1" state="visible" r:id="rId1"/>
    <sheet name="Critérios" sheetId="2" state="visible" r:id="rId2"/>
    <sheet name="Fontes de dados" sheetId="3" state="visible" r:id="rId3"/>
    <sheet name="Pontos RPA 6" sheetId="4" state="visible" r:id="rId4"/>
  </sheets>
  <definedNames>
    <definedName name="_xlnm._FilterDatabase" localSheetId="1" hidden="1">'Critérios'!$A$4:$R$4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595959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color rgb="FF0563C1"/>
      <sz val="10"/>
      <u val="single"/>
    </font>
    <font>
      <name val="Arial"/>
      <color rgb="FF008000"/>
      <sz val="10"/>
    </font>
    <font>
      <name val="Calibri"/>
      <family val="2"/>
      <b val="1"/>
      <color rgb="FF1F3864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i val="1"/>
      <color rgb="FF595959"/>
      <sz val="14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sz val="14"/>
      <scheme val="minor"/>
    </font>
    <font>
      <name val="Calibri"/>
      <family val="2"/>
      <color rgb="FF0000FF"/>
      <sz val="14"/>
      <scheme val="minor"/>
    </font>
    <font>
      <name val="Calibri"/>
      <family val="2"/>
      <color rgb="FF0563C1"/>
      <sz val="14"/>
      <u val="single"/>
      <scheme val="minor"/>
    </font>
    <font>
      <name val="Calibri"/>
      <family val="2"/>
      <b val="1"/>
      <sz val="14"/>
      <scheme val="minor"/>
    </font>
    <font>
      <b val="1"/>
      <color rgb="00C00000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F2E6"/>
      </patternFill>
    </fill>
    <fill>
      <patternFill patternType="solid">
        <fgColor rgb="FFE4DFEC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164" fontId="14" fillId="4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3" fillId="11" borderId="1" applyAlignment="1" pivotButton="0" quotePrefix="0" xfId="0">
      <alignment vertical="top" wrapText="1"/>
    </xf>
    <xf numFmtId="164" fontId="13" fillId="12" borderId="1" applyAlignment="1" pivotButton="0" quotePrefix="0" xfId="0">
      <alignment horizontal="center" vertical="top"/>
    </xf>
    <xf numFmtId="0" fontId="16" fillId="0" borderId="0" pivotButton="0" quotePrefix="0" xfId="0"/>
    <xf numFmtId="164" fontId="16" fillId="0" borderId="0" pivotButton="0" quotePrefix="0" xfId="0"/>
    <xf numFmtId="0" fontId="13" fillId="3" borderId="0" pivotButton="0" quotePrefix="0" xfId="0"/>
    <xf numFmtId="164" fontId="13" fillId="0" borderId="0" pivotButton="0" quotePrefix="0" xfId="0"/>
    <xf numFmtId="0" fontId="13" fillId="5" borderId="0" pivotButton="0" quotePrefix="0" xfId="0"/>
    <xf numFmtId="0" fontId="13" fillId="6" borderId="0" pivotButton="0" quotePrefix="0" xfId="0"/>
    <xf numFmtId="0" fontId="13" fillId="7" borderId="0" pivotButton="0" quotePrefix="0" xfId="0"/>
    <xf numFmtId="0" fontId="13" fillId="8" borderId="0" pivotButton="0" quotePrefix="0" xfId="0"/>
    <xf numFmtId="0" fontId="13" fillId="9" borderId="0" pivotButton="0" quotePrefix="0" xfId="0"/>
    <xf numFmtId="0" fontId="13" fillId="10" borderId="0" pivotButton="0" quotePrefix="0" xfId="0"/>
    <xf numFmtId="0" fontId="1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7" fillId="1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2.cemaden.gov.br/mapainterativo/" TargetMode="External" Id="rId1" /><Relationship Type="http://schemas.openxmlformats.org/officeDocument/2006/relationships/hyperlink" Target="http://www.sirh.srh.pe.gov.br/apac/meteorologia/" TargetMode="External" Id="rId2" /><Relationship Type="http://schemas.openxmlformats.org/officeDocument/2006/relationships/hyperlink" Target="https://ftp.ibge.gov.br/Censos/Censo_Demografico_2022/Agregados_por_Setores_Censitarios/" TargetMode="External" Id="rId3" /><Relationship Type="http://schemas.openxmlformats.org/officeDocument/2006/relationships/hyperlink" Target="http://ivs.ipea.gov.br/index.php/pt/mapa" TargetMode="External" Id="rId4" /><Relationship Type="http://schemas.openxmlformats.org/officeDocument/2006/relationships/hyperlink" Target="https://ftp.ibge.gov.br/Censos/Censo_Demografico_2022/Agregados_por_Setores_Censitarios/" TargetMode="External" Id="rId5" /><Relationship Type="http://schemas.openxmlformats.org/officeDocument/2006/relationships/hyperlink" Target="https://dados.recife.pe.gov.br/" TargetMode="External" Id="rId6" /><Relationship Type="http://schemas.openxmlformats.org/officeDocument/2006/relationships/hyperlink" Target="https://dados.recife.pe.gov.br/" TargetMode="External" Id="rId7" /><Relationship Type="http://schemas.openxmlformats.org/officeDocument/2006/relationships/hyperlink" Target="https://dados.recife.pe.gov.br/" TargetMode="External" Id="rId8" /><Relationship Type="http://schemas.openxmlformats.org/officeDocument/2006/relationships/hyperlink" Target="https://dados.recife.pe.gov.br/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ftp.ibge.gov.br/Censos/Censo_Demografico_2022/Agregados_por_Setores_Censitarios/" TargetMode="External" Id="rId1" /><Relationship Type="http://schemas.openxmlformats.org/officeDocument/2006/relationships/hyperlink" Target="https://www.ibge.gov.br/geociencias/organizacao-do-territorio/estrutura-territorial/26565-malhas-de-setores-censitarios-divisoes-intramunicipais.html" TargetMode="External" Id="rId2" /><Relationship Type="http://schemas.openxmlformats.org/officeDocument/2006/relationships/hyperlink" Target="https://dados.recife.pe.gov.br/" TargetMode="External" Id="rId3" /><Relationship Type="http://schemas.openxmlformats.org/officeDocument/2006/relationships/hyperlink" Target="https://hubdedados.recife.pe.gov.br/" TargetMode="External" Id="rId4" /><Relationship Type="http://schemas.openxmlformats.org/officeDocument/2006/relationships/hyperlink" Target="http://www2.cemaden.gov.br/mapainterativo/" TargetMode="External" Id="rId5" /><Relationship Type="http://schemas.openxmlformats.org/officeDocument/2006/relationships/hyperlink" Target="http://www.sirh.srh.pe.gov.br/apac/meteorologia/" TargetMode="External" Id="rId6" /><Relationship Type="http://schemas.openxmlformats.org/officeDocument/2006/relationships/hyperlink" Target="http://ivs.ipea.gov.br/index.php/pt/mapa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style="25" min="1" max="1"/>
    <col width="120" customWidth="1" style="25" min="2" max="2"/>
  </cols>
  <sheetData>
    <row r="1" ht="18" customHeight="1" s="25">
      <c r="A1" s="1" t="inlineStr">
        <is>
          <t>Recife Resiliente — Critérios para hierarquizar pontos críticos de alagamento (RPA 6)</t>
        </is>
      </c>
    </row>
    <row r="2">
      <c r="A2" s="2" t="inlineStr">
        <is>
          <t>Rascunho de 01/10/2026 (Pedro + Claude). Não validado pelo grupo.</t>
        </is>
      </c>
    </row>
    <row r="3" ht="62" customHeight="1" s="25">
      <c r="A3" s="55" t="inlineStr">
        <is>
          <t>HISTÓRICO</t>
        </is>
      </c>
      <c r="B3" s="55" t="inlineStr">
        <is>
          <t>Arquivo histórico (rascunho de 01/10/2026), substituído em 03/10/2026. O modelo atual tem 4 dimensões (Probabilidade, Exposição, Vulnerabilidade, Impacto) e 19 variáveis. Trabalhar na planilha Google 'Recife_Resiliente_Checklist_Variaveis' (abas Checklist variáveis e Notas dos pontos) e no documento-chave docs/10-dimensoes-e-variaveis.md. Não atualizar este arquivo.</t>
        </is>
      </c>
    </row>
    <row r="4" ht="48" customHeight="1" s="25">
      <c r="A4" s="3" t="inlineStr">
        <is>
          <t>O que é</t>
        </is>
      </c>
      <c r="B4" s="4" t="inlineStr">
        <is>
          <t>Estrutura de critérios e subcritérios adaptada do Plano de Ações do Plano Diretor de Drenagem de São Paulo (que hierarquiza obras) para hierarquizar PONTOS críticos de alagamento. Escopo: apenas RPA 6.</t>
        </is>
      </c>
    </row>
    <row r="5" ht="48" customHeight="1" s="25">
      <c r="A5" s="3" t="inlineStr">
        <is>
          <t>Abas</t>
        </is>
      </c>
      <c r="B5" s="4" t="inlineStr">
        <is>
          <t>Critérios: dimensões, subcritérios, como medir, escala 1–5, fonte, quem fornece, status do dado e peso. | Fontes de dados: inventário das fontes, com link, como obter e status. | Pontos RPA 6: tabela para pontuar cada ponto e calcular o score.</t>
        </is>
      </c>
    </row>
    <row r="6" ht="48" customHeight="1" s="25">
      <c r="A6" s="3" t="inlineStr">
        <is>
          <t>Escala</t>
        </is>
      </c>
      <c r="B6" s="4" t="inlineStr">
        <is>
          <t>Cada subcritério recebe nota de 1 a 5, onde 5 = contribui MAIS para a criticidade. Nos itens inversos (infraestrutura verde, acessibilidade de resposta) a escala já vem invertida. Na tratabilidade, 5 = mais fácil de intervir.</t>
        </is>
      </c>
    </row>
    <row r="7" ht="48" customHeight="1" s="25">
      <c r="A7" s="3" t="inlineStr">
        <is>
          <t>[SIG] e [Ponto]</t>
        </is>
      </c>
      <c r="B7" s="4" t="inlineStr">
        <is>
          <t>[SIG] = calculado no círculo de 300 m em torno do ponto (ArcGIS Pro, projeção SIRGAS 2000 / UTM 25S, EPSG:31985). [Ponto] = atributo do próprio ponto, obtido de órgãos, vistoria ou campo.</t>
        </is>
      </c>
    </row>
    <row r="8" ht="48" customHeight="1" s="25">
      <c r="A8" s="3" t="inlineStr">
        <is>
          <t>Faixas</t>
        </is>
      </c>
      <c r="B8" s="4" t="inlineStr">
        <is>
          <t>As faixas absolutas são PROVISÓRIAS: calibrar com os dados reais. Onde não há referência, usa-se quintis dos pontos da RPA 6 (nota relativa ao conjunto, não absoluta).</t>
        </is>
      </c>
    </row>
    <row r="9" ht="48" customHeight="1" s="25">
      <c r="A9" s="3" t="inlineStr">
        <is>
          <t>Sem dado</t>
        </is>
      </c>
      <c r="B9" s="4" t="inlineStr">
        <is>
          <t>Sem dado acessível, o subcritério sai e os pesos dos demais são redistribuídos (a fórmula da aba Pontos RPA 6 já ignora notas em branco). Registrar a ausência.</t>
        </is>
      </c>
    </row>
    <row r="10" ht="48" customHeight="1" s="25">
      <c r="A10" s="3" t="inlineStr">
        <is>
          <t>Pesos</t>
        </is>
      </c>
      <c r="B10" s="4" t="inlineStr">
        <is>
          <t>Ainda não definidos. Método de SP: cada membro do grupo propõe pesos separadamente, depois discutem. Preencher a coluna Peso na aba Critérios (células amarelas); a soma deve dar 100%.</t>
        </is>
      </c>
    </row>
    <row r="11" ht="48" customHeight="1" s="25">
      <c r="A11" s="3" t="inlineStr">
        <is>
          <t>Cores</t>
        </is>
      </c>
      <c r="B11" s="4" t="inlineStr">
        <is>
          <t>Texto azul em fundo amarelo = célula para preencher. Texto azul claro sublinhado = link. Fundo cinza = não se aplica ao score.</t>
        </is>
      </c>
    </row>
    <row r="12" ht="62.1" customHeight="1" s="25">
      <c r="A12" s="3" t="inlineStr">
        <is>
          <t>Cuidados</t>
        </is>
      </c>
      <c r="B12" s="4" t="inlineStr">
        <is>
          <t>Os links marcados como 'Confirmado na busca' existem, mas o conteúdo de cada base não foi aberto na íntegra. Fontes marcadas 'Não verificado' (CNES, OpenStreetMap, MapBiomas, tábua de marés, dados de ônibus) foram citadas por conhecimento geral e precisam ser conferidas. A existência de dados por ponto (frequência, altura da lâmina, custos) depende de COP, Defesa Civil, EMLURB e Compesa.</t>
        </is>
      </c>
    </row>
    <row r="13" ht="48" customHeight="1" s="25">
      <c r="A13" s="3" t="inlineStr">
        <is>
          <t>Referência</t>
        </is>
      </c>
      <c r="B13" s="4" t="inlineStr">
        <is>
          <t>Plano Diretor de Drenagem de São Paulo (FCTH/SIURB), Plano de Ações, cap. 5 e Tabelas 3–6: https://drive.prefeitura.sp.gov.br/cidade/secretarias/upload/obras/cadernos_de_drenagem/FCTH_PDD.pdf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showGridLines="0" tabSelected="1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O6" sqref="O6"/>
    </sheetView>
  </sheetViews>
  <sheetFormatPr baseColWidth="8" defaultRowHeight="18.75"/>
  <cols>
    <col width="5" customWidth="1" style="27" min="1" max="1"/>
    <col width="31.85546875" customWidth="1" style="27" min="2" max="2"/>
    <col width="28" customWidth="1" style="27" min="3" max="3"/>
    <col width="12" customWidth="1" style="27" min="4" max="4"/>
    <col width="18" customWidth="1" style="27" min="5" max="5"/>
    <col width="30" customWidth="1" style="27" min="6" max="6"/>
    <col width="44" customWidth="1" style="27" min="7" max="7"/>
    <col width="16" customWidth="1" style="27" min="8" max="8"/>
    <col width="14" customWidth="1" style="27" min="9" max="9"/>
    <col width="16" customWidth="1" style="27" min="10" max="10"/>
    <col width="14" customWidth="1" style="27" min="11" max="11"/>
    <col width="18" customWidth="1" style="27" min="12" max="12"/>
    <col width="40" customWidth="1" style="27" min="13" max="13"/>
    <col width="11.42578125" customWidth="1" style="52" min="14" max="14"/>
    <col width="28" customWidth="1" style="27" min="15" max="15"/>
    <col width="40" customWidth="1" style="27" min="16" max="16"/>
    <col width="14" customWidth="1" style="27" min="17" max="17"/>
    <col width="9" customWidth="1" style="27" min="18" max="18"/>
    <col width="9.140625" customWidth="1" style="27" min="19" max="16384"/>
  </cols>
  <sheetData>
    <row r="1">
      <c r="A1" s="26" t="inlineStr">
        <is>
          <t>Critérios e subcritérios — como medir e onde obter os dados</t>
        </is>
      </c>
    </row>
    <row r="2">
      <c r="A2" s="28" t="inlineStr">
        <is>
          <t>Nota 5 = mais crítico (itens inversos já invertidos). Faixas provisórias. Células amarelas: preencher (Status do dado e Peso).</t>
        </is>
      </c>
    </row>
    <row r="4" ht="37.5" customHeight="1" s="25">
      <c r="A4" s="29" t="inlineStr">
        <is>
          <t>Nº</t>
        </is>
      </c>
      <c r="B4" s="29" t="inlineStr">
        <is>
          <t>Dimensão</t>
        </is>
      </c>
      <c r="C4" s="29" t="inlineStr">
        <is>
          <t>Subcritério</t>
        </is>
      </c>
      <c r="D4" s="29" t="inlineStr">
        <is>
          <t>Tipo</t>
        </is>
      </c>
      <c r="E4" s="29" t="inlineStr">
        <is>
          <t>Efeito no score</t>
        </is>
      </c>
      <c r="F4" s="29" t="inlineStr">
        <is>
          <t>Pergunta que responde</t>
        </is>
      </c>
      <c r="G4" s="29" t="inlineStr">
        <is>
          <t>Como medir</t>
        </is>
      </c>
      <c r="H4" s="29" t="inlineStr">
        <is>
          <t>Nota 1</t>
        </is>
      </c>
      <c r="I4" s="29" t="inlineStr">
        <is>
          <t>Nota 2</t>
        </is>
      </c>
      <c r="J4" s="29" t="inlineStr">
        <is>
          <t>Nota 3</t>
        </is>
      </c>
      <c r="K4" s="29" t="inlineStr">
        <is>
          <t>Nota 4</t>
        </is>
      </c>
      <c r="L4" s="29" t="inlineStr">
        <is>
          <t>Nota 5</t>
        </is>
      </c>
      <c r="M4" s="29" t="inlineStr">
        <is>
          <t>Fonte principal do dado</t>
        </is>
      </c>
      <c r="N4" s="29" t="inlineStr">
        <is>
          <t>Link</t>
        </is>
      </c>
      <c r="O4" s="29" t="inlineStr">
        <is>
          <t>Quem fornece / onde pedir</t>
        </is>
      </c>
      <c r="P4" s="29" t="inlineStr">
        <is>
          <t>Observações</t>
        </is>
      </c>
      <c r="Q4" s="29" t="inlineStr">
        <is>
          <t>Status do dado</t>
        </is>
      </c>
      <c r="R4" s="29" t="inlineStr">
        <is>
          <t>Peso</t>
        </is>
      </c>
    </row>
    <row r="5" ht="78" customHeight="1" s="25">
      <c r="A5" s="30" t="n">
        <v>1</v>
      </c>
      <c r="B5" s="30" t="inlineStr">
        <is>
          <t>1. Hidrológico</t>
        </is>
      </c>
      <c r="C5" s="30" t="inlineStr">
        <is>
          <t>Frequência de eventos</t>
        </is>
      </c>
      <c r="D5" s="30" t="inlineStr">
        <is>
          <t>Ponto</t>
        </is>
      </c>
      <c r="E5" s="30" t="inlineStr">
        <is>
          <t>Aumenta</t>
        </is>
      </c>
      <c r="F5" s="30" t="inlineStr">
        <is>
          <t>Quantas vezes o ponto alaga por ano?</t>
        </is>
      </c>
      <c r="G5" s="30" t="inlineStr">
        <is>
          <t>Média de eventos/ano nas 3 últimas estações chuvosas (evento = ocorrência registrada).</t>
        </is>
      </c>
      <c r="H5" s="31" t="inlineStr">
        <is>
          <t>&lt;1</t>
        </is>
      </c>
      <c r="I5" s="31" t="inlineStr">
        <is>
          <t>1–2</t>
        </is>
      </c>
      <c r="J5" s="31" t="inlineStr">
        <is>
          <t>3–4</t>
        </is>
      </c>
      <c r="K5" s="31" t="inlineStr">
        <is>
          <t>5–6</t>
        </is>
      </c>
      <c r="L5" s="31" t="inlineStr">
        <is>
          <t>≥7</t>
        </is>
      </c>
      <c r="M5" s="30" t="inlineStr">
        <is>
          <t>Registro de ocorrências do COP e da Defesa Civil (Sedec); 156 como complemento.</t>
        </is>
      </c>
      <c r="N5" s="53" t="n"/>
      <c r="O5" s="30" t="inlineStr">
        <is>
          <t>COP; Defesa Civil (Sedec)</t>
        </is>
      </c>
      <c r="P5" s="30" t="inlineStr">
        <is>
          <t>Faixas provisórias: calibrar com a distribuição real dos pontos da RPA 6.</t>
        </is>
      </c>
      <c r="Q5" s="32" t="inlineStr">
        <is>
          <t>A verificar</t>
        </is>
      </c>
      <c r="R5" s="33" t="n"/>
    </row>
    <row r="6" ht="78" customHeight="1" s="25">
      <c r="A6" s="30" t="n">
        <v>2</v>
      </c>
      <c r="B6" s="30" t="inlineStr">
        <is>
          <t>1. Hidrológico</t>
        </is>
      </c>
      <c r="C6" s="30" t="inlineStr">
        <is>
          <t>Gatilho de chuva</t>
        </is>
      </c>
      <c r="D6" s="30" t="inlineStr">
        <is>
          <t>Ponto</t>
        </is>
      </c>
      <c r="E6" s="30" t="inlineStr">
        <is>
          <t>Aumenta (quanto menor o gatilho)</t>
        </is>
      </c>
      <c r="F6" s="30" t="inlineStr">
        <is>
          <t>Com que chuva o ponto alaga?</t>
        </is>
      </c>
      <c r="G6" s="30" t="inlineStr">
        <is>
          <t>Menor chuva (mm/24h) que já causou alagamento: cruzar a data da ocorrência com o pluviômetro mais próximo.</t>
        </is>
      </c>
      <c r="H6" s="31" t="inlineStr">
        <is>
          <t>&gt;80 mm</t>
        </is>
      </c>
      <c r="I6" s="31" t="inlineStr">
        <is>
          <t>60–80 mm</t>
        </is>
      </c>
      <c r="J6" s="31" t="inlineStr">
        <is>
          <t>40–60 mm</t>
        </is>
      </c>
      <c r="K6" s="31" t="inlineStr">
        <is>
          <t>20–40 mm</t>
        </is>
      </c>
      <c r="L6" s="31" t="inlineStr">
        <is>
          <t>&lt;20 mm</t>
        </is>
      </c>
      <c r="M6" s="30" t="inlineStr">
        <is>
          <t>Pluviômetros Cemaden (download por equipamento, mês a mês, desde 2013) e APAC.</t>
        </is>
      </c>
      <c r="N6" s="54" t="inlineStr">
        <is>
          <t>Abrir</t>
        </is>
      </c>
      <c r="O6" s="30" t="inlineStr">
        <is>
          <t>Cemaden; APAC; Defesa Civil</t>
        </is>
      </c>
      <c r="P6" s="30" t="inlineStr">
        <is>
          <t>Depende de ter datas confiáveis das ocorrências (critério anterior). Faixas provisórias.</t>
        </is>
      </c>
      <c r="Q6" s="32" t="inlineStr">
        <is>
          <t>A verificar</t>
        </is>
      </c>
      <c r="R6" s="33" t="n"/>
    </row>
    <row r="7" ht="78" customHeight="1" s="25">
      <c r="A7" s="30" t="n">
        <v>3</v>
      </c>
      <c r="B7" s="30" t="inlineStr">
        <is>
          <t>1. Hidrológico</t>
        </is>
      </c>
      <c r="C7" s="30" t="inlineStr">
        <is>
          <t>Influência da maré</t>
        </is>
      </c>
      <c r="D7" s="30" t="inlineStr">
        <is>
          <t>Ponto</t>
        </is>
      </c>
      <c r="E7" s="30" t="inlineStr">
        <is>
          <t>Aumenta</t>
        </is>
      </c>
      <c r="F7" s="30" t="inlineStr">
        <is>
          <t>A maré ou o nível do rio bloqueia o escoamento?</t>
        </is>
      </c>
      <c r="G7" s="30" t="inlineStr">
        <is>
          <t>Classificação qualitativa por escuta e dados de maré.</t>
        </is>
      </c>
      <c r="H7" s="31" t="inlineStr">
        <is>
          <t>Não influencia</t>
        </is>
      </c>
      <c r="I7" s="31" t="inlineStr">
        <is>
          <t>—</t>
        </is>
      </c>
      <c r="J7" s="31" t="inlineStr">
        <is>
          <t>Agrava ocasionalmente</t>
        </is>
      </c>
      <c r="K7" s="31" t="inlineStr">
        <is>
          <t>—</t>
        </is>
      </c>
      <c r="L7" s="31" t="inlineStr">
        <is>
          <t>Alaga dependendo da maré / escoamento bloqueado</t>
        </is>
      </c>
      <c r="M7" s="30" t="inlineStr">
        <is>
          <t>APAC e tábua de marés; escuta de campo.</t>
        </is>
      </c>
      <c r="N7" s="54" t="inlineStr">
        <is>
          <t>Abrir</t>
        </is>
      </c>
      <c r="O7" s="30" t="inlineStr">
        <is>
          <t>APAC; Marinha (tábua de marés, a verificar); campo</t>
        </is>
      </c>
      <c r="P7" s="30" t="inlineStr">
        <is>
          <t>Relevante nas áreas de baixada da RPA 6.</t>
        </is>
      </c>
      <c r="Q7" s="32" t="inlineStr">
        <is>
          <t>A verificar</t>
        </is>
      </c>
      <c r="R7" s="33" t="n"/>
    </row>
    <row r="8" ht="78" customHeight="1" s="25">
      <c r="A8" s="30" t="n">
        <v>4</v>
      </c>
      <c r="B8" s="30" t="inlineStr">
        <is>
          <t>1. Hidrológico</t>
        </is>
      </c>
      <c r="C8" s="30" t="inlineStr">
        <is>
          <t>Altura da lâmina d'água</t>
        </is>
      </c>
      <c r="D8" s="30" t="inlineStr">
        <is>
          <t>Ponto</t>
        </is>
      </c>
      <c r="E8" s="30" t="inlineStr">
        <is>
          <t>Aumenta</t>
        </is>
      </c>
      <c r="F8" s="30" t="inlineStr">
        <is>
          <t>Quão alta fica a água?</t>
        </is>
      </c>
      <c r="G8" s="30" t="inlineStr">
        <is>
          <t>Maior altura registrada ou relatada. Registrar em faixas de campo (tornozelo, joelho, cintura).</t>
        </is>
      </c>
      <c r="H8" s="31" t="inlineStr">
        <is>
          <t>&lt;10 cm</t>
        </is>
      </c>
      <c r="I8" s="31" t="inlineStr">
        <is>
          <t>10–30 cm</t>
        </is>
      </c>
      <c r="J8" s="31" t="inlineStr">
        <is>
          <t>30–50 cm</t>
        </is>
      </c>
      <c r="K8" s="31" t="inlineStr">
        <is>
          <t>50–100 cm</t>
        </is>
      </c>
      <c r="L8" s="31" t="inlineStr">
        <is>
          <t>&gt;100 cm</t>
        </is>
      </c>
      <c r="M8" s="30" t="inlineStr">
        <is>
          <t>Campo e escuta de moradores e equipes; modelagem se houver.</t>
        </is>
      </c>
      <c r="N8" s="53" t="n"/>
      <c r="O8" s="30" t="inlineStr">
        <is>
          <t>Campo; Defesa Civil; EMLURB</t>
        </is>
      </c>
      <c r="P8" s="30" t="inlineStr">
        <is>
          <t>Dado raramente sistemático. SP incluiu 'altura da mancha' na 3ª edição.</t>
        </is>
      </c>
      <c r="Q8" s="32" t="inlineStr">
        <is>
          <t>A verificar</t>
        </is>
      </c>
      <c r="R8" s="33" t="n"/>
    </row>
    <row r="9" ht="78" customHeight="1" s="25">
      <c r="A9" s="30" t="n">
        <v>5</v>
      </c>
      <c r="B9" s="30" t="inlineStr">
        <is>
          <t>1. Hidrológico</t>
        </is>
      </c>
      <c r="C9" s="30" t="inlineStr">
        <is>
          <t>Extensão da mancha</t>
        </is>
      </c>
      <c r="D9" s="30" t="inlineStr">
        <is>
          <t>Ponto</t>
        </is>
      </c>
      <c r="E9" s="30" t="inlineStr">
        <is>
          <t>Aumenta</t>
        </is>
      </c>
      <c r="F9" s="30" t="inlineStr">
        <is>
          <t>Qual a área ou o comprimento alagado?</t>
        </is>
      </c>
      <c r="G9" s="30" t="inlineStr">
        <is>
          <t>Comprimento de via ou área alagada (m ou m²).</t>
        </is>
      </c>
      <c r="H9" s="31" t="inlineStr">
        <is>
          <t>Quintil 1 (20% menores)</t>
        </is>
      </c>
      <c r="I9" s="31" t="inlineStr">
        <is>
          <t>Quintil 2</t>
        </is>
      </c>
      <c r="J9" s="31" t="inlineStr">
        <is>
          <t>Quintil 3</t>
        </is>
      </c>
      <c r="K9" s="31" t="inlineStr">
        <is>
          <t>Quintil 4</t>
        </is>
      </c>
      <c r="L9" s="31" t="inlineStr">
        <is>
          <t>Quintil 5 (20% maiores)</t>
        </is>
      </c>
      <c r="M9" s="30" t="inlineStr">
        <is>
          <t>Campo, topografia ou modelagem; áreas inundáveis, se existirem em camada da Prefeitura.</t>
        </is>
      </c>
      <c r="N9" s="53" t="n"/>
      <c r="O9" s="30" t="inlineStr">
        <is>
          <t>Campo; EMLURB; URB</t>
        </is>
      </c>
      <c r="P9" s="30" t="inlineStr">
        <is>
          <t>Quintis calculados sobre os pontos da RPA 6.</t>
        </is>
      </c>
      <c r="Q9" s="32" t="inlineStr">
        <is>
          <t>A verificar</t>
        </is>
      </c>
      <c r="R9" s="33" t="n"/>
    </row>
    <row r="10" ht="78" customHeight="1" s="25">
      <c r="A10" s="30" t="n">
        <v>6</v>
      </c>
      <c r="B10" s="30" t="inlineStr">
        <is>
          <t>1. Hidrológico</t>
        </is>
      </c>
      <c r="C10" s="30" t="inlineStr">
        <is>
          <t>Duração do alagamento</t>
        </is>
      </c>
      <c r="D10" s="30" t="inlineStr">
        <is>
          <t>Ponto</t>
        </is>
      </c>
      <c r="E10" s="30" t="inlineStr">
        <is>
          <t>Aumenta</t>
        </is>
      </c>
      <c r="F10" s="30" t="inlineStr">
        <is>
          <t>Quanto tempo leva para a água baixar?</t>
        </is>
      </c>
      <c r="G10" s="30" t="inlineStr">
        <is>
          <t>Horas até a água baixar após a chuva.</t>
        </is>
      </c>
      <c r="H10" s="31" t="inlineStr">
        <is>
          <t>&lt;1 h</t>
        </is>
      </c>
      <c r="I10" s="31" t="inlineStr">
        <is>
          <t>1–3 h</t>
        </is>
      </c>
      <c r="J10" s="31" t="inlineStr">
        <is>
          <t>3–6 h</t>
        </is>
      </c>
      <c r="K10" s="31" t="inlineStr">
        <is>
          <t>6–12 h</t>
        </is>
      </c>
      <c r="L10" s="31" t="inlineStr">
        <is>
          <t>&gt;12 h</t>
        </is>
      </c>
      <c r="M10" s="30" t="inlineStr">
        <is>
          <t>Campo e escuta de moradores.</t>
        </is>
      </c>
      <c r="N10" s="53" t="n"/>
      <c r="O10" s="30" t="inlineStr">
        <is>
          <t>Campo; Defesa Civil</t>
        </is>
      </c>
      <c r="P10" s="30" t="inlineStr">
        <is>
          <t>Faixas provisórias.</t>
        </is>
      </c>
      <c r="Q10" s="32" t="inlineStr">
        <is>
          <t>A verificar</t>
        </is>
      </c>
      <c r="R10" s="33" t="n"/>
    </row>
    <row r="11" ht="78" customHeight="1" s="25">
      <c r="A11" s="34" t="n">
        <v>7</v>
      </c>
      <c r="B11" s="34" t="inlineStr">
        <is>
          <t>2. Social</t>
        </is>
      </c>
      <c r="C11" s="34" t="inlineStr">
        <is>
          <t>População exposta</t>
        </is>
      </c>
      <c r="D11" s="34" t="inlineStr">
        <is>
          <t>SIG</t>
        </is>
      </c>
      <c r="E11" s="34" t="inlineStr">
        <is>
          <t>Aumenta</t>
        </is>
      </c>
      <c r="F11" s="34" t="inlineStr">
        <is>
          <t>Quantas pessoas vivem no entorno do ponto?</t>
        </is>
      </c>
      <c r="G11" s="34" t="inlineStr">
        <is>
          <t>Habitantes no círculo de 300 m: soma de (população do setor × proporção da área do setor dentro do círculo).</t>
        </is>
      </c>
      <c r="H11" s="31" t="inlineStr">
        <is>
          <t>Quintil 1 (20% menores)</t>
        </is>
      </c>
      <c r="I11" s="31" t="inlineStr">
        <is>
          <t>Quintil 2</t>
        </is>
      </c>
      <c r="J11" s="31" t="inlineStr">
        <is>
          <t>Quintil 3</t>
        </is>
      </c>
      <c r="K11" s="31" t="inlineStr">
        <is>
          <t>Quintil 4</t>
        </is>
      </c>
      <c r="L11" s="31" t="inlineStr">
        <is>
          <t>Quintil 5 (20% maiores)</t>
        </is>
      </c>
      <c r="M11" s="34" t="inlineStr">
        <is>
          <t>IBGE, Censo 2022: agregados por setor censitário + malha de setores.</t>
        </is>
      </c>
      <c r="N11" s="54" t="inlineStr">
        <is>
          <t>Abrir</t>
        </is>
      </c>
      <c r="O11" s="34" t="inlineStr">
        <is>
          <t>IBGE (download público)</t>
        </is>
      </c>
      <c r="P11" s="34" t="inlineStr">
        <is>
          <t>Estimativa: assume população uniforme dentro do setor. Registrar como estimativa.</t>
        </is>
      </c>
      <c r="Q11" s="32" t="inlineStr">
        <is>
          <t>A verificar</t>
        </is>
      </c>
      <c r="R11" s="33" t="n"/>
    </row>
    <row r="12" ht="78" customHeight="1" s="25">
      <c r="A12" s="34" t="n">
        <v>8</v>
      </c>
      <c r="B12" s="34" t="inlineStr">
        <is>
          <t>2. Social</t>
        </is>
      </c>
      <c r="C12" s="34" t="inlineStr">
        <is>
          <t>Vulnerabilidade social</t>
        </is>
      </c>
      <c r="D12" s="34" t="inlineStr">
        <is>
          <t>SIG</t>
        </is>
      </c>
      <c r="E12" s="34" t="inlineStr">
        <is>
          <t>Aumenta</t>
        </is>
      </c>
      <c r="F12" s="34" t="inlineStr">
        <is>
          <t>Quem mora ali é mais vulnerável?</t>
        </is>
      </c>
      <c r="G12" s="34" t="inlineStr">
        <is>
          <t>Maior IVS entre as UDH que intersectam o círculo (análogo ao IPVS usado por SP).</t>
        </is>
      </c>
      <c r="H12" s="31" t="inlineStr">
        <is>
          <t>Muito baixa</t>
        </is>
      </c>
      <c r="I12" s="31" t="inlineStr">
        <is>
          <t>Baixa</t>
        </is>
      </c>
      <c r="J12" s="31" t="inlineStr">
        <is>
          <t>Média</t>
        </is>
      </c>
      <c r="K12" s="31" t="inlineStr">
        <is>
          <t>Alta</t>
        </is>
      </c>
      <c r="L12" s="31" t="inlineStr">
        <is>
          <t>Muito alta</t>
        </is>
      </c>
      <c r="M12" s="34" t="inlineStr">
        <is>
          <t>Ipea: Índice de Vulnerabilidade Social por UDH.</t>
        </is>
      </c>
      <c r="N12" s="54" t="inlineStr">
        <is>
          <t>Abrir</t>
        </is>
      </c>
      <c r="O12" s="34" t="inlineStr">
        <is>
          <t>Ipea (público)</t>
        </is>
      </c>
      <c r="P12" s="34" t="inlineStr">
        <is>
          <t>Dados de 2000 e 2010; granularidade UDH. Conferir cortes das faixas do IVS. Provisório até haver índice local mais recente.</t>
        </is>
      </c>
      <c r="Q12" s="32" t="inlineStr">
        <is>
          <t>A verificar</t>
        </is>
      </c>
      <c r="R12" s="33" t="n"/>
    </row>
    <row r="13" ht="78" customHeight="1" s="25">
      <c r="A13" s="34" t="n">
        <v>9</v>
      </c>
      <c r="B13" s="34" t="inlineStr">
        <is>
          <t>2. Social</t>
        </is>
      </c>
      <c r="C13" s="34" t="inlineStr">
        <is>
          <t>Grupos sensíveis</t>
        </is>
      </c>
      <c r="D13" s="34" t="inlineStr">
        <is>
          <t>SIG</t>
        </is>
      </c>
      <c r="E13" s="34" t="inlineStr">
        <is>
          <t>Aumenta</t>
        </is>
      </c>
      <c r="F13" s="34" t="inlineStr">
        <is>
          <t>Há muitos idosos e crianças pequenas?</t>
        </is>
      </c>
      <c r="G13" s="34" t="inlineStr">
        <is>
          <t>% de moradores idosos e crianças pequenas nos setores do círculo.</t>
        </is>
      </c>
      <c r="H13" s="31" t="inlineStr">
        <is>
          <t>Quintil 1 (20% menores)</t>
        </is>
      </c>
      <c r="I13" s="31" t="inlineStr">
        <is>
          <t>Quintil 2</t>
        </is>
      </c>
      <c r="J13" s="31" t="inlineStr">
        <is>
          <t>Quintil 3</t>
        </is>
      </c>
      <c r="K13" s="31" t="inlineStr">
        <is>
          <t>Quintil 4</t>
        </is>
      </c>
      <c r="L13" s="31" t="inlineStr">
        <is>
          <t>Quintil 5 (20% maiores)</t>
        </is>
      </c>
      <c r="M13" s="34" t="inlineStr">
        <is>
          <t>IBGE, Censo 2022 (se o agregado por setor trouxer faixa etária); cadastros locais.</t>
        </is>
      </c>
      <c r="N13" s="54" t="inlineStr">
        <is>
          <t>Abrir</t>
        </is>
      </c>
      <c r="O13" s="34" t="inlineStr">
        <is>
          <t>IBGE; Assistência Social/saúde (cadastros)</t>
        </is>
      </c>
      <c r="P13" s="34" t="inlineStr">
        <is>
          <t>Confirmar se a faixa etária está disponível por setor.</t>
        </is>
      </c>
      <c r="Q13" s="32" t="inlineStr">
        <is>
          <t>A verificar</t>
        </is>
      </c>
      <c r="R13" s="33" t="n"/>
    </row>
    <row r="14" ht="78" customHeight="1" s="25">
      <c r="A14" s="35" t="n">
        <v>10</v>
      </c>
      <c r="B14" s="35" t="inlineStr">
        <is>
          <t>3. Econômico</t>
        </is>
      </c>
      <c r="C14" s="35" t="inlineStr">
        <is>
          <t>Comércios no entorno</t>
        </is>
      </c>
      <c r="D14" s="35" t="inlineStr">
        <is>
          <t>SIG</t>
        </is>
      </c>
      <c r="E14" s="35" t="inlineStr">
        <is>
          <t>Aumenta</t>
        </is>
      </c>
      <c r="F14" s="35" t="inlineStr">
        <is>
          <t>Quanto comércio fica exposto?</t>
        </is>
      </c>
      <c r="G14" s="35" t="inlineStr">
        <is>
          <t>Nº de estabelecimentos comerciais no círculo de 300 m.</t>
        </is>
      </c>
      <c r="H14" s="31" t="inlineStr">
        <is>
          <t>Quintil 1 (20% menores)</t>
        </is>
      </c>
      <c r="I14" s="31" t="inlineStr">
        <is>
          <t>Quintil 2</t>
        </is>
      </c>
      <c r="J14" s="31" t="inlineStr">
        <is>
          <t>Quintil 3</t>
        </is>
      </c>
      <c r="K14" s="31" t="inlineStr">
        <is>
          <t>Quintil 4</t>
        </is>
      </c>
      <c r="L14" s="31" t="inlineStr">
        <is>
          <t>Quintil 5 (20% maiores)</t>
        </is>
      </c>
      <c r="M14" s="35" t="inlineStr">
        <is>
          <t>Dados abertos da Prefeitura (empresas/alvarás, a verificar) ou OpenStreetMap.</t>
        </is>
      </c>
      <c r="N14" s="54" t="inlineStr">
        <is>
          <t>Abrir</t>
        </is>
      </c>
      <c r="O14" s="35" t="inlineStr">
        <is>
          <t>Prefeitura do Recife (dados abertos)</t>
        </is>
      </c>
      <c r="P14" s="35" t="inlineStr">
        <is>
          <t>Verificar no portal se há conjunto georreferenciado de estabelecimentos.</t>
        </is>
      </c>
      <c r="Q14" s="32" t="inlineStr">
        <is>
          <t>A verificar</t>
        </is>
      </c>
      <c r="R14" s="33" t="n"/>
    </row>
    <row r="15" ht="78" customHeight="1" s="25">
      <c r="A15" s="35" t="n">
        <v>11</v>
      </c>
      <c r="B15" s="35" t="inlineStr">
        <is>
          <t>3. Econômico</t>
        </is>
      </c>
      <c r="C15" s="35" t="inlineStr">
        <is>
          <t>Importância das edificações</t>
        </is>
      </c>
      <c r="D15" s="35" t="inlineStr">
        <is>
          <t>SIG</t>
        </is>
      </c>
      <c r="E15" s="35" t="inlineStr">
        <is>
          <t>Aumenta</t>
        </is>
      </c>
      <c r="F15" s="35" t="inlineStr">
        <is>
          <t>Que tipo de uso está exposto?</t>
        </is>
      </c>
      <c r="G15" s="35" t="inlineStr">
        <is>
          <t>Classe mais crítica presente no círculo (escala adaptada de SP).</t>
        </is>
      </c>
      <c r="H15" s="31" t="inlineStr">
        <is>
          <t>Espaço público</t>
        </is>
      </c>
      <c r="I15" s="31" t="inlineStr">
        <is>
          <t>—</t>
        </is>
      </c>
      <c r="J15" s="31" t="inlineStr">
        <is>
          <t>Comercial</t>
        </is>
      </c>
      <c r="K15" s="31" t="inlineStr">
        <is>
          <t>Residencial</t>
        </is>
      </c>
      <c r="L15" s="31" t="inlineStr">
        <is>
          <t>Equipamento vulnerável (escola, creche, unidade de saúde)</t>
        </is>
      </c>
      <c r="M15" s="35" t="inlineStr">
        <is>
          <t>Uso do solo/edificações da Prefeitura; equipamentos públicos.</t>
        </is>
      </c>
      <c r="N15" s="54" t="inlineStr">
        <is>
          <t>Abrir</t>
        </is>
      </c>
      <c r="O15" s="35" t="inlineStr">
        <is>
          <t>Prefeitura do Recife</t>
        </is>
      </c>
      <c r="P15" s="35" t="inlineStr">
        <is>
          <t>Escala de SP: equipamento vulnerável 5, residencial 4, comercial 3, espaço público 1.</t>
        </is>
      </c>
      <c r="Q15" s="32" t="inlineStr">
        <is>
          <t>A verificar</t>
        </is>
      </c>
      <c r="R15" s="33" t="n"/>
    </row>
    <row r="16" ht="78" customHeight="1" s="25">
      <c r="A16" s="35" t="n">
        <v>12</v>
      </c>
      <c r="B16" s="35" t="inlineStr">
        <is>
          <t>3. Econômico</t>
        </is>
      </c>
      <c r="C16" s="35" t="inlineStr">
        <is>
          <t>Custo recorrente de conviver com o ponto</t>
        </is>
      </c>
      <c r="D16" s="35" t="inlineStr">
        <is>
          <t>Ponto</t>
        </is>
      </c>
      <c r="E16" s="35" t="inlineStr">
        <is>
          <t>Aumenta</t>
        </is>
      </c>
      <c r="F16" s="35" t="inlineStr">
        <is>
          <t>Quanto a Prefeitura gasta repetidamente com o ponto?</t>
        </is>
      </c>
      <c r="G16" s="35" t="inlineStr">
        <is>
          <t>R$/ano ou nº de acionamentos/ano de equipes de limpeza e resposta no ponto.</t>
        </is>
      </c>
      <c r="H16" s="31" t="inlineStr">
        <is>
          <t>Quintil 1 (20% menores)</t>
        </is>
      </c>
      <c r="I16" s="31" t="inlineStr">
        <is>
          <t>Quintil 2</t>
        </is>
      </c>
      <c r="J16" s="31" t="inlineStr">
        <is>
          <t>Quintil 3</t>
        </is>
      </c>
      <c r="K16" s="31" t="inlineStr">
        <is>
          <t>Quintil 4</t>
        </is>
      </c>
      <c r="L16" s="31" t="inlineStr">
        <is>
          <t>Quintil 5 (20% maiores)</t>
        </is>
      </c>
      <c r="M16" s="35" t="inlineStr">
        <is>
          <t>Registros de serviço da EMLURB e da Defesa Civil.</t>
        </is>
      </c>
      <c r="N16" s="53" t="n"/>
      <c r="O16" s="35" t="inlineStr">
        <is>
          <t>EMLURB; Defesa Civil</t>
        </is>
      </c>
      <c r="P16" s="35" t="inlineStr">
        <is>
          <t>Pode não existir por ponto: se não houver dado, o subcritério sai (regra de corte).</t>
        </is>
      </c>
      <c r="Q16" s="32" t="inlineStr">
        <is>
          <t>A verificar</t>
        </is>
      </c>
      <c r="R16" s="33" t="n"/>
    </row>
    <row r="17" ht="78" customHeight="1" s="25">
      <c r="A17" s="36" t="n">
        <v>13</v>
      </c>
      <c r="B17" s="36" t="inlineStr">
        <is>
          <t>4. Infraestrutura urbana e mobilidade</t>
        </is>
      </c>
      <c r="C17" s="36" t="inlineStr">
        <is>
          <t>Vias e mobilidade afetadas</t>
        </is>
      </c>
      <c r="D17" s="36" t="inlineStr">
        <is>
          <t>SIG</t>
        </is>
      </c>
      <c r="E17" s="36" t="inlineStr">
        <is>
          <t>Aumenta</t>
        </is>
      </c>
      <c r="F17" s="36" t="inlineStr">
        <is>
          <t>Quanto da mobilidade é cortada?</t>
        </is>
      </c>
      <c r="G17" s="36" t="inlineStr">
        <is>
          <t>Km de via no círculo ponderado pela classe viária e/ou nº de linhas de ônibus que usam a via alagada (versão local de 'viagens impactadas', 3ª ed. de SP).</t>
        </is>
      </c>
      <c r="H17" s="31" t="inlineStr">
        <is>
          <t>Quintil 1 (20% menores)</t>
        </is>
      </c>
      <c r="I17" s="31" t="inlineStr">
        <is>
          <t>Quintil 2</t>
        </is>
      </c>
      <c r="J17" s="31" t="inlineStr">
        <is>
          <t>Quintil 3</t>
        </is>
      </c>
      <c r="K17" s="31" t="inlineStr">
        <is>
          <t>Quintil 4</t>
        </is>
      </c>
      <c r="L17" s="31" t="inlineStr">
        <is>
          <t>Quintil 5 (20% maiores)</t>
        </is>
      </c>
      <c r="M17" s="36" t="inlineStr">
        <is>
          <t>Malha viária da Prefeitura/OSM; dados de linhas de ônibus (CTTU/Grande Recife, a verificar).</t>
        </is>
      </c>
      <c r="N17" s="54" t="inlineStr">
        <is>
          <t>Abrir</t>
        </is>
      </c>
      <c r="O17" s="36" t="inlineStr">
        <is>
          <t>Prefeitura (CTTU); Grande Recife Consórcio</t>
        </is>
      </c>
      <c r="P17" s="36" t="inlineStr">
        <is>
          <t>Dados de transporte não verificados.</t>
        </is>
      </c>
      <c r="Q17" s="32" t="inlineStr">
        <is>
          <t>A verificar</t>
        </is>
      </c>
      <c r="R17" s="33" t="n"/>
    </row>
    <row r="18" ht="78" customHeight="1" s="25">
      <c r="A18" s="36" t="n">
        <v>14</v>
      </c>
      <c r="B18" s="36" t="inlineStr">
        <is>
          <t>4. Infraestrutura urbana e mobilidade</t>
        </is>
      </c>
      <c r="C18" s="36" t="inlineStr">
        <is>
          <t>Infraestrutura crítica</t>
        </is>
      </c>
      <c r="D18" s="36" t="inlineStr">
        <is>
          <t>SIG</t>
        </is>
      </c>
      <c r="E18" s="36" t="inlineStr">
        <is>
          <t>Aumenta</t>
        </is>
      </c>
      <c r="F18" s="36" t="inlineStr">
        <is>
          <t>Que serviços essenciais param?</t>
        </is>
      </c>
      <c r="G18" s="36" t="inlineStr">
        <is>
          <t>Nº de tipos distintos no círculo: energia, telecom, transporte, saneamento.</t>
        </is>
      </c>
      <c r="H18" s="31" t="inlineStr">
        <is>
          <t>0 tipos</t>
        </is>
      </c>
      <c r="I18" s="31" t="inlineStr">
        <is>
          <t>1 tipo</t>
        </is>
      </c>
      <c r="J18" s="31" t="inlineStr">
        <is>
          <t>2 tipos</t>
        </is>
      </c>
      <c r="K18" s="31" t="inlineStr">
        <is>
          <t>3 tipos</t>
        </is>
      </c>
      <c r="L18" s="31" t="inlineStr">
        <is>
          <t>≥4 tipos</t>
        </is>
      </c>
      <c r="M18" s="36" t="inlineStr">
        <is>
          <t>Cadastros das concessionárias e da Prefeitura.</t>
        </is>
      </c>
      <c r="N18" s="53" t="n"/>
      <c r="O18" s="36" t="inlineStr">
        <is>
          <t>Concessionárias (energia, telecom); Compesa; Defesa Civil</t>
        </is>
      </c>
      <c r="P18" s="36" t="inlineStr">
        <is>
          <t>Sem cadastro georreferenciado, a Defesa Civil pode indicar de forma qualitativa.</t>
        </is>
      </c>
      <c r="Q18" s="32" t="inlineStr">
        <is>
          <t>A verificar</t>
        </is>
      </c>
      <c r="R18" s="33" t="n"/>
    </row>
    <row r="19" ht="78" customHeight="1" s="25">
      <c r="A19" s="36" t="n">
        <v>15</v>
      </c>
      <c r="B19" s="36" t="inlineStr">
        <is>
          <t>4. Infraestrutura urbana e mobilidade</t>
        </is>
      </c>
      <c r="C19" s="36" t="inlineStr">
        <is>
          <t>Equipamentos de emergência expostos</t>
        </is>
      </c>
      <c r="D19" s="36" t="inlineStr">
        <is>
          <t>SIG</t>
        </is>
      </c>
      <c r="E19" s="36" t="inlineStr">
        <is>
          <t>Aumenta</t>
        </is>
      </c>
      <c r="F19" s="36" t="inlineStr">
        <is>
          <t>Há equipamento de emergência no local?</t>
        </is>
      </c>
      <c r="G19" s="36" t="inlineStr">
        <is>
          <t>Equipamento de saúde ou emergência dentro do círculo.</t>
        </is>
      </c>
      <c r="H19" s="31" t="inlineStr">
        <is>
          <t>Nenhum</t>
        </is>
      </c>
      <c r="I19" s="31" t="inlineStr">
        <is>
          <t>—</t>
        </is>
      </c>
      <c r="J19" s="31" t="inlineStr">
        <is>
          <t>UBS/USF</t>
        </is>
      </c>
      <c r="K19" s="31" t="inlineStr">
        <is>
          <t>—</t>
        </is>
      </c>
      <c r="L19" s="31" t="inlineStr">
        <is>
          <t>Hospital, UPA, bombeiros ou Defesa Civil</t>
        </is>
      </c>
      <c r="M19" s="36" t="inlineStr">
        <is>
          <t>CNES/DATASUS e cadastro da Prefeitura.</t>
        </is>
      </c>
      <c r="N19" s="53" t="n"/>
      <c r="O19" s="36" t="inlineStr">
        <is>
          <t>CNES (público); Prefeitura</t>
        </is>
      </c>
      <c r="P19" s="36" t="inlineStr">
        <is>
          <t>CNES não verificado nesta pesquisa.</t>
        </is>
      </c>
      <c r="Q19" s="32" t="inlineStr">
        <is>
          <t>A verificar</t>
        </is>
      </c>
      <c r="R19" s="33" t="n"/>
    </row>
    <row r="20" ht="78" customHeight="1" s="25">
      <c r="A20" s="36" t="n">
        <v>16</v>
      </c>
      <c r="B20" s="36" t="inlineStr">
        <is>
          <t>4. Infraestrutura urbana e mobilidade</t>
        </is>
      </c>
      <c r="C20" s="36" t="inlineStr">
        <is>
          <t>Acessibilidade de resposta</t>
        </is>
      </c>
      <c r="D20" s="36" t="inlineStr">
        <is>
          <t>SIG</t>
        </is>
      </c>
      <c r="E20" s="36" t="inlineStr">
        <is>
          <t>Reduz (escala já invertida)</t>
        </is>
      </c>
      <c r="F20" s="36" t="inlineStr">
        <is>
          <t>A resposta consegue chegar rápido?</t>
        </is>
      </c>
      <c r="G20" s="36" t="inlineStr">
        <is>
          <t>Tempo de deslocamento ao equipamento de emergência mais próximo pela malha viária (análise de rede).</t>
        </is>
      </c>
      <c r="H20" s="31" t="inlineStr">
        <is>
          <t>≤5 min</t>
        </is>
      </c>
      <c r="I20" s="31" t="inlineStr">
        <is>
          <t>5–10 min</t>
        </is>
      </c>
      <c r="J20" s="31" t="inlineStr">
        <is>
          <t>10–15 min</t>
        </is>
      </c>
      <c r="K20" s="31" t="inlineStr">
        <is>
          <t>15–20 min</t>
        </is>
      </c>
      <c r="L20" s="31" t="inlineStr">
        <is>
          <t>&gt;20 min</t>
        </is>
      </c>
      <c r="M20" s="36" t="inlineStr">
        <is>
          <t>Malha viária + localização de equipamentos de emergência.</t>
        </is>
      </c>
      <c r="N20" s="53" t="n"/>
      <c r="O20" s="36" t="inlineStr">
        <is>
          <t>Prefeitura; CNES</t>
        </is>
      </c>
      <c r="P20" s="36" t="inlineStr">
        <is>
          <t>Nota 5 = resposta mais difícil. Faixas provisórias.</t>
        </is>
      </c>
      <c r="Q20" s="32" t="inlineStr">
        <is>
          <t>A verificar</t>
        </is>
      </c>
      <c r="R20" s="33" t="n"/>
    </row>
    <row r="21" ht="78" customHeight="1" s="25">
      <c r="A21" s="37" t="n">
        <v>17</v>
      </c>
      <c r="B21" s="37" t="inlineStr">
        <is>
          <t>5. Ambiental e sanitário</t>
        </is>
      </c>
      <c r="C21" s="37" t="inlineStr">
        <is>
          <t>Área ambientalmente sensível</t>
        </is>
      </c>
      <c r="D21" s="37" t="inlineStr">
        <is>
          <t>SIG</t>
        </is>
      </c>
      <c r="E21" s="37" t="inlineStr">
        <is>
          <t>Aumenta</t>
        </is>
      </c>
      <c r="F21" s="37" t="inlineStr">
        <is>
          <t>Há ambiente sensível afetado?</t>
        </is>
      </c>
      <c r="G21" s="37" t="inlineStr">
        <is>
          <t>% do círculo ocupado por APP, margem de rio ou mangue.</t>
        </is>
      </c>
      <c r="H21" s="31" t="inlineStr">
        <is>
          <t>0%</t>
        </is>
      </c>
      <c r="I21" s="31" t="inlineStr">
        <is>
          <t>&lt;5%</t>
        </is>
      </c>
      <c r="J21" s="31" t="inlineStr">
        <is>
          <t>5–15%</t>
        </is>
      </c>
      <c r="K21" s="31" t="inlineStr">
        <is>
          <t>15–30%</t>
        </is>
      </c>
      <c r="L21" s="31" t="inlineStr">
        <is>
          <t>&gt;30%</t>
        </is>
      </c>
      <c r="M21" s="37" t="inlineStr">
        <is>
          <t>Camadas ambientais da Prefeitura; MapBiomas.</t>
        </is>
      </c>
      <c r="N21" s="54" t="inlineStr">
        <is>
          <t>Abrir</t>
        </is>
      </c>
      <c r="O21" s="37" t="inlineStr">
        <is>
          <t>Prefeitura (meio ambiente)</t>
        </is>
      </c>
      <c r="P21" s="37" t="inlineStr">
        <is>
          <t>Faixas provisórias.</t>
        </is>
      </c>
      <c r="Q21" s="32" t="inlineStr">
        <is>
          <t>A verificar</t>
        </is>
      </c>
      <c r="R21" s="33" t="n"/>
    </row>
    <row r="22" ht="78" customHeight="1" s="25">
      <c r="A22" s="37" t="n">
        <v>18</v>
      </c>
      <c r="B22" s="37" t="inlineStr">
        <is>
          <t>5. Ambiental e sanitário</t>
        </is>
      </c>
      <c r="C22" s="37" t="inlineStr">
        <is>
          <t>Infraestrutura verde (inverso)</t>
        </is>
      </c>
      <c r="D22" s="37" t="inlineStr">
        <is>
          <t>SIG</t>
        </is>
      </c>
      <c r="E22" s="37" t="inlineStr">
        <is>
          <t>Reduz (escala já invertida)</t>
        </is>
      </c>
      <c r="F22" s="37" t="inlineStr">
        <is>
          <t>Há verde ou solo permeável que alivia o escoamento?</t>
        </is>
      </c>
      <c r="G22" s="37" t="inlineStr">
        <is>
          <t>% do círculo com vegetação ou solo permeável.</t>
        </is>
      </c>
      <c r="H22" s="31" t="inlineStr">
        <is>
          <t>&gt;40%</t>
        </is>
      </c>
      <c r="I22" s="31" t="inlineStr">
        <is>
          <t>30–40%</t>
        </is>
      </c>
      <c r="J22" s="31" t="inlineStr">
        <is>
          <t>20–30%</t>
        </is>
      </c>
      <c r="K22" s="31" t="inlineStr">
        <is>
          <t>10–20%</t>
        </is>
      </c>
      <c r="L22" s="31" t="inlineStr">
        <is>
          <t>&lt;10%</t>
        </is>
      </c>
      <c r="M22" s="37" t="inlineStr">
        <is>
          <t>MapBiomas; camadas da Prefeitura.</t>
        </is>
      </c>
      <c r="N22" s="53" t="n"/>
      <c r="O22" s="37" t="inlineStr">
        <is>
          <t>MapBiomas (público); Prefeitura</t>
        </is>
      </c>
      <c r="P22" s="37" t="inlineStr">
        <is>
          <t>Nota 5 = pouco verde. Fonte MapBiomas não verificada.</t>
        </is>
      </c>
      <c r="Q22" s="32" t="inlineStr">
        <is>
          <t>A verificar</t>
        </is>
      </c>
      <c r="R22" s="33" t="n"/>
    </row>
    <row r="23" ht="78" customHeight="1" s="25">
      <c r="A23" s="37" t="n">
        <v>19</v>
      </c>
      <c r="B23" s="37" t="inlineStr">
        <is>
          <t>5. Ambiental e sanitário</t>
        </is>
      </c>
      <c r="C23" s="37" t="inlineStr">
        <is>
          <t>Risco sanitário</t>
        </is>
      </c>
      <c r="D23" s="37" t="inlineStr">
        <is>
          <t>Ponto</t>
        </is>
      </c>
      <c r="E23" s="37" t="inlineStr">
        <is>
          <t>Aumenta</t>
        </is>
      </c>
      <c r="F23" s="37" t="inlineStr">
        <is>
          <t>O alagamento vem misturado com esgoto?</t>
        </is>
      </c>
      <c r="G23" s="37" t="inlineStr">
        <is>
          <t>Classificação por vistoria e dados da concessionária.</t>
        </is>
      </c>
      <c r="H23" s="31" t="inlineStr">
        <is>
          <t>Sem rede mista nem relatos</t>
        </is>
      </c>
      <c r="I23" s="31" t="inlineStr">
        <is>
          <t>—</t>
        </is>
      </c>
      <c r="J23" s="31" t="inlineStr">
        <is>
          <t>Ligações irregulares ou relatos</t>
        </is>
      </c>
      <c r="K23" s="31" t="inlineStr">
        <is>
          <t>—</t>
        </is>
      </c>
      <c r="L23" s="31" t="inlineStr">
        <is>
          <t>Rede unitária, esgoto a céu aberto ou extravasamento visível</t>
        </is>
      </c>
      <c r="M23" s="37" t="inlineStr">
        <is>
          <t>Compesa (rede de esgoto), EMLURB e campo.</t>
        </is>
      </c>
      <c r="N23" s="53" t="n"/>
      <c r="O23" s="37" t="inlineStr">
        <is>
          <t>Compesa; EMLURB; campo</t>
        </is>
      </c>
      <c r="P23" s="37" t="inlineStr">
        <is>
          <t>Reflete o ponto de saúde pública: leptospirose e contaminação.</t>
        </is>
      </c>
      <c r="Q23" s="32" t="inlineStr">
        <is>
          <t>A verificar</t>
        </is>
      </c>
      <c r="R23" s="33" t="n"/>
    </row>
    <row r="24" ht="78" customHeight="1" s="25">
      <c r="A24" s="38" t="n">
        <v>20</v>
      </c>
      <c r="B24" s="38" t="inlineStr">
        <is>
          <t>6. Técnico (sistema de drenagem)</t>
        </is>
      </c>
      <c r="C24" s="38" t="inlineStr">
        <is>
          <t>Fragilidade do sistema de drenagem</t>
        </is>
      </c>
      <c r="D24" s="38" t="inlineStr">
        <is>
          <t>Ponto</t>
        </is>
      </c>
      <c r="E24" s="38" t="inlineStr">
        <is>
          <t>Aumenta</t>
        </is>
      </c>
      <c r="F24" s="38" t="inlineStr">
        <is>
          <t>O sistema de drenagem do ponto é frágil?</t>
        </is>
      </c>
      <c r="G24" s="38" t="inlineStr">
        <is>
          <t>Checklist de vistoria (cada item 0/1): subdimensionamento, assoreamento ou lixo, última limpeza há mais de 12 meses, estrutura danificada. Nota = 1 + nº de itens.</t>
        </is>
      </c>
      <c r="H24" s="31" t="inlineStr">
        <is>
          <t>0 itens</t>
        </is>
      </c>
      <c r="I24" s="31" t="inlineStr">
        <is>
          <t>1 item</t>
        </is>
      </c>
      <c r="J24" s="31" t="inlineStr">
        <is>
          <t>2 itens</t>
        </is>
      </c>
      <c r="K24" s="31" t="inlineStr">
        <is>
          <t>3 itens</t>
        </is>
      </c>
      <c r="L24" s="31" t="inlineStr">
        <is>
          <t>4 itens</t>
        </is>
      </c>
      <c r="M24" s="38" t="inlineStr">
        <is>
          <t>Vistoria técnica no ponto.</t>
        </is>
      </c>
      <c r="N24" s="53" t="n"/>
      <c r="O24" s="38" t="inlineStr">
        <is>
          <t>EMLURB; URB (a definir quem faz a vistoria)</t>
        </is>
      </c>
      <c r="P24" s="38" t="inlineStr">
        <is>
          <t>Em SP, 'vulnerabilidade técnica' avalia a obra; aqui é adaptação para o ponto.</t>
        </is>
      </c>
      <c r="Q24" s="32" t="inlineStr">
        <is>
          <t>A verificar</t>
        </is>
      </c>
      <c r="R24" s="33" t="n"/>
    </row>
    <row r="25" ht="78" customHeight="1" s="25">
      <c r="A25" s="38" t="n">
        <v>21</v>
      </c>
      <c r="B25" s="38" t="inlineStr">
        <is>
          <t>6. Técnico (sistema de drenagem)</t>
        </is>
      </c>
      <c r="C25" s="38" t="inlineStr">
        <is>
          <t>Dependência de equipamento</t>
        </is>
      </c>
      <c r="D25" s="38" t="inlineStr">
        <is>
          <t>Ponto</t>
        </is>
      </c>
      <c r="E25" s="38" t="inlineStr">
        <is>
          <t>Aumenta</t>
        </is>
      </c>
      <c r="F25" s="38" t="inlineStr">
        <is>
          <t>O ponto depende de bomba, comporta ou válvula?</t>
        </is>
      </c>
      <c r="G25" s="38" t="inlineStr">
        <is>
          <t>Classificação por vistoria e cadastro.</t>
        </is>
      </c>
      <c r="H25" s="31" t="inlineStr">
        <is>
          <t>Nenhum equipamento</t>
        </is>
      </c>
      <c r="I25" s="31" t="inlineStr">
        <is>
          <t>—</t>
        </is>
      </c>
      <c r="J25" s="31" t="inlineStr">
        <is>
          <t>Equipamento com redundância</t>
        </is>
      </c>
      <c r="K25" s="31" t="inlineStr">
        <is>
          <t>—</t>
        </is>
      </c>
      <c r="L25" s="31" t="inlineStr">
        <is>
          <t>Ponto único de falha</t>
        </is>
      </c>
      <c r="M25" s="38" t="inlineStr">
        <is>
          <t>Cadastro e vistoria.</t>
        </is>
      </c>
      <c r="N25" s="53" t="n"/>
      <c r="O25" s="38" t="inlineStr">
        <is>
          <t>EMLURB; URB</t>
        </is>
      </c>
      <c r="P25" s="38" t="n"/>
      <c r="Q25" s="32" t="inlineStr">
        <is>
          <t>A verificar</t>
        </is>
      </c>
      <c r="R25" s="33" t="n"/>
    </row>
    <row r="26" ht="78" customHeight="1" s="25">
      <c r="A26" s="38" t="n">
        <v>22</v>
      </c>
      <c r="B26" s="38" t="inlineStr">
        <is>
          <t>6. Técnico (sistema de drenagem)</t>
        </is>
      </c>
      <c r="C26" s="38" t="inlineStr">
        <is>
          <t>Posição na bacia</t>
        </is>
      </c>
      <c r="D26" s="38" t="inlineStr">
        <is>
          <t>Ponto</t>
        </is>
      </c>
      <c r="E26" s="38" t="inlineStr">
        <is>
          <t>Aumenta</t>
        </is>
      </c>
      <c r="F26" s="38" t="inlineStr">
        <is>
          <t>O ponto está a jusante e recebe água de vários trechos?</t>
        </is>
      </c>
      <c r="G26" s="38" t="inlineStr">
        <is>
          <t>Localizar o ponto na hierarquia Bacia → Sub-bacia (Art. 9º do PMDR) e na rede hidrográfica.</t>
        </is>
      </c>
      <c r="H26" s="31" t="inlineStr">
        <is>
          <t>Cabeceira / problema local</t>
        </is>
      </c>
      <c r="I26" s="31" t="inlineStr">
        <is>
          <t>—</t>
        </is>
      </c>
      <c r="J26" s="31" t="inlineStr">
        <is>
          <t>Trecho intermediário</t>
        </is>
      </c>
      <c r="K26" s="31" t="inlineStr">
        <is>
          <t>—</t>
        </is>
      </c>
      <c r="L26" s="31" t="inlineStr">
        <is>
          <t>Baixada que recebe várias sub-bacias</t>
        </is>
      </c>
      <c r="M26" s="38" t="inlineStr">
        <is>
          <t>PMDR e shapefile da rede hidrográfica já exportado do ArcGIS Pro (15 feições).</t>
        </is>
      </c>
      <c r="N26" s="53" t="n"/>
      <c r="O26" s="38" t="inlineStr">
        <is>
          <t>Prefeitura (PMDR); arquivo próprio</t>
        </is>
      </c>
      <c r="P26" s="38" t="inlineStr">
        <is>
          <t>Conferir quais sub-bacias compõem a RPA 6.</t>
        </is>
      </c>
      <c r="Q26" s="32" t="inlineStr">
        <is>
          <t>A verificar</t>
        </is>
      </c>
      <c r="R26" s="33" t="n"/>
    </row>
    <row r="27" ht="78" customHeight="1" s="25">
      <c r="A27" s="39" t="n">
        <v>23</v>
      </c>
      <c r="B27" s="39" t="inlineStr">
        <is>
          <t>7. Político e institucional</t>
        </is>
      </c>
      <c r="C27" s="39" t="inlineStr">
        <is>
          <t>Repercussão pública</t>
        </is>
      </c>
      <c r="D27" s="39" t="inlineStr">
        <is>
          <t>Ponto</t>
        </is>
      </c>
      <c r="E27" s="39" t="inlineStr">
        <is>
          <t>Aumenta</t>
        </is>
      </c>
      <c r="F27" s="39" t="inlineStr">
        <is>
          <t>O ponto tem visibilidade pública?</t>
        </is>
      </c>
      <c r="G27" s="39" t="inlineStr">
        <is>
          <t>Reclamações no 156/ano + notícias + recorrência; nota atribuída pelo grupo (como SP: 'relevância segundo a opinião pública').</t>
        </is>
      </c>
      <c r="H27" s="31" t="inlineStr">
        <is>
          <t>Irrelevante</t>
        </is>
      </c>
      <c r="I27" s="31" t="inlineStr">
        <is>
          <t>Pouco relevante</t>
        </is>
      </c>
      <c r="J27" s="31" t="inlineStr">
        <is>
          <t>Relevante</t>
        </is>
      </c>
      <c r="K27" s="31" t="inlineStr">
        <is>
          <t>Muito relevante</t>
        </is>
      </c>
      <c r="L27" s="31" t="inlineStr">
        <is>
          <t>Extremamente relevante</t>
        </is>
      </c>
      <c r="M27" s="39" t="inlineStr">
        <is>
          <t>Base do 156; clipping de notícias; avaliação do grupo.</t>
        </is>
      </c>
      <c r="N27" s="53" t="n"/>
      <c r="O27" s="39" t="inlineStr">
        <is>
          <t>Prefeitura (156); grupo</t>
        </is>
      </c>
      <c r="P27" s="39" t="inlineStr">
        <is>
          <t>Peso baixo (SP: 3%). Mostrar ranking com e sem este critério.</t>
        </is>
      </c>
      <c r="Q27" s="32" t="inlineStr">
        <is>
          <t>A verificar</t>
        </is>
      </c>
      <c r="R27" s="33" t="n"/>
    </row>
    <row r="28" ht="78" customHeight="1" s="25">
      <c r="A28" s="39" t="n">
        <v>24</v>
      </c>
      <c r="B28" s="39" t="inlineStr">
        <is>
          <t>7. Político e institucional</t>
        </is>
      </c>
      <c r="C28" s="39" t="inlineStr">
        <is>
          <t>Pressão institucional</t>
        </is>
      </c>
      <c r="D28" s="39" t="inlineStr">
        <is>
          <t>Ponto</t>
        </is>
      </c>
      <c r="E28" s="39" t="inlineStr">
        <is>
          <t>Aumenta</t>
        </is>
      </c>
      <c r="F28" s="39" t="inlineStr">
        <is>
          <t>Quem cobra solução para o ponto?</t>
        </is>
      </c>
      <c r="G28" s="39" t="inlineStr">
        <is>
          <t>Classificação do demandante mais alto.</t>
        </is>
      </c>
      <c r="H28" s="31" t="inlineStr">
        <is>
          <t>Sem demanda formal</t>
        </is>
      </c>
      <c r="I28" s="31" t="inlineStr">
        <is>
          <t>—</t>
        </is>
      </c>
      <c r="J28" s="31" t="inlineStr">
        <is>
          <t>Vereador ou associação</t>
        </is>
      </c>
      <c r="K28" s="31" t="inlineStr">
        <is>
          <t>—</t>
        </is>
      </c>
      <c r="L28" s="31" t="inlineStr">
        <is>
          <t>MP, gabinete ou imprensa recorrente</t>
        </is>
      </c>
      <c r="M28" s="39" t="inlineStr">
        <is>
          <t>Registros de demandas do COP/gabinete; clipping.</t>
        </is>
      </c>
      <c r="N28" s="53" t="n"/>
      <c r="O28" s="39" t="inlineStr">
        <is>
          <t>COP; gabinete; grupo</t>
        </is>
      </c>
      <c r="P28" s="39" t="inlineStr">
        <is>
          <t>Critério mais sujeito a viés. Documentar a justificativa da nota.</t>
        </is>
      </c>
      <c r="Q28" s="32" t="inlineStr">
        <is>
          <t>A verificar</t>
        </is>
      </c>
      <c r="R28" s="33" t="n"/>
    </row>
    <row r="29" ht="78" customHeight="1" s="25">
      <c r="A29" s="40" t="n">
        <v>25</v>
      </c>
      <c r="B29" s="40" t="inlineStr">
        <is>
          <t>8. Tratabilidade (fora do score)</t>
        </is>
      </c>
      <c r="C29" s="40" t="inlineStr">
        <is>
          <t>Prazo e complexidade de intervir</t>
        </is>
      </c>
      <c r="D29" s="40" t="inlineStr">
        <is>
          <t>Tratabilidade</t>
        </is>
      </c>
      <c r="E29" s="40" t="inlineStr">
        <is>
          <t>Escala: 5 = mais fácil de intervir</t>
        </is>
      </c>
      <c r="F29" s="40" t="inlineStr">
        <is>
          <t>Dá para agir rápido no ponto?</t>
        </is>
      </c>
      <c r="G29" s="40" t="inlineStr">
        <is>
          <t>Prazo estimado de execução da intervenção (escala de SP).</t>
        </is>
      </c>
      <c r="H29" s="31" t="inlineStr">
        <is>
          <t>48–60 meses</t>
        </is>
      </c>
      <c r="I29" s="31" t="inlineStr">
        <is>
          <t>36–48 meses</t>
        </is>
      </c>
      <c r="J29" s="31" t="inlineStr">
        <is>
          <t>24–36 meses</t>
        </is>
      </c>
      <c r="K29" s="31" t="inlineStr">
        <is>
          <t>12–24 meses</t>
        </is>
      </c>
      <c r="L29" s="31" t="inlineStr">
        <is>
          <t>0–12 meses</t>
        </is>
      </c>
      <c r="M29" s="40" t="inlineStr">
        <is>
          <t>URB / EMLURB.</t>
        </is>
      </c>
      <c r="N29" s="53" t="n"/>
      <c r="O29" s="40" t="inlineStr">
        <is>
          <t>URB; EMLURB</t>
        </is>
      </c>
      <c r="P29" s="40" t="inlineStr">
        <is>
          <t>Fora do score de criticidade. Cruza com a criticidade na matriz de ação.</t>
        </is>
      </c>
      <c r="Q29" s="32" t="inlineStr">
        <is>
          <t>A verificar</t>
        </is>
      </c>
      <c r="R29" s="41" t="inlineStr">
        <is>
          <t>n/a</t>
        </is>
      </c>
    </row>
    <row r="30" ht="78" customHeight="1" s="25">
      <c r="A30" s="40" t="n">
        <v>26</v>
      </c>
      <c r="B30" s="40" t="inlineStr">
        <is>
          <t>8. Tratabilidade (fora do score)</t>
        </is>
      </c>
      <c r="C30" s="40" t="inlineStr">
        <is>
          <t>Transtornos ao intervir</t>
        </is>
      </c>
      <c r="D30" s="40" t="inlineStr">
        <is>
          <t>Tratabilidade</t>
        </is>
      </c>
      <c r="E30" s="40" t="inlineStr">
        <is>
          <t>Escala: 5 = mais fácil</t>
        </is>
      </c>
      <c r="F30" s="40" t="inlineStr">
        <is>
          <t>A intervenção interdita via importante?</t>
        </is>
      </c>
      <c r="G30" s="40" t="inlineStr">
        <is>
          <t>Classe viária interditada durante a intervenção (escala de SP).</t>
        </is>
      </c>
      <c r="H30" s="31" t="inlineStr">
        <is>
          <t>Via de trânsito rápido</t>
        </is>
      </c>
      <c r="I30" s="31" t="inlineStr">
        <is>
          <t>Via arterial</t>
        </is>
      </c>
      <c r="J30" s="31" t="inlineStr">
        <is>
          <t>Via coletora</t>
        </is>
      </c>
      <c r="K30" s="31" t="inlineStr">
        <is>
          <t>Via de pedestres</t>
        </is>
      </c>
      <c r="L30" s="31" t="inlineStr">
        <is>
          <t>Via local / nenhuma</t>
        </is>
      </c>
      <c r="M30" s="40" t="inlineStr">
        <is>
          <t>Classificação viária da CTTU.</t>
        </is>
      </c>
      <c r="N30" s="53" t="n"/>
      <c r="O30" s="40" t="inlineStr">
        <is>
          <t>CTTU</t>
        </is>
      </c>
      <c r="P30" s="40" t="n"/>
      <c r="Q30" s="32" t="inlineStr">
        <is>
          <t>A verificar</t>
        </is>
      </c>
      <c r="R30" s="41" t="inlineStr">
        <is>
          <t>n/a</t>
        </is>
      </c>
    </row>
    <row r="31" ht="78" customHeight="1" s="25">
      <c r="A31" s="40" t="n">
        <v>27</v>
      </c>
      <c r="B31" s="40" t="inlineStr">
        <is>
          <t>8. Tratabilidade (fora do score)</t>
        </is>
      </c>
      <c r="C31" s="40" t="inlineStr">
        <is>
          <t>Desapropriação</t>
        </is>
      </c>
      <c r="D31" s="40" t="inlineStr">
        <is>
          <t>Tratabilidade</t>
        </is>
      </c>
      <c r="E31" s="40" t="inlineStr">
        <is>
          <t>Escala: 5 = mais fácil</t>
        </is>
      </c>
      <c r="F31" s="40" t="inlineStr">
        <is>
          <t>A intervenção exige desapropriar?</t>
        </is>
      </c>
      <c r="G31" s="40" t="inlineStr">
        <is>
          <t>Custo de desapropriação / custo total da intervenção (escala de SP).</t>
        </is>
      </c>
      <c r="H31" s="31" t="inlineStr">
        <is>
          <t>&gt;20%</t>
        </is>
      </c>
      <c r="I31" s="31" t="inlineStr">
        <is>
          <t>10–20%</t>
        </is>
      </c>
      <c r="J31" s="31" t="inlineStr">
        <is>
          <t>5–10%</t>
        </is>
      </c>
      <c r="K31" s="31" t="inlineStr">
        <is>
          <t>1–5%</t>
        </is>
      </c>
      <c r="L31" s="31" t="inlineStr">
        <is>
          <t>0–1%</t>
        </is>
      </c>
      <c r="M31" s="40" t="inlineStr">
        <is>
          <t>URB; planilha de custos.</t>
        </is>
      </c>
      <c r="N31" s="53" t="n"/>
      <c r="O31" s="40" t="inlineStr">
        <is>
          <t>URB</t>
        </is>
      </c>
      <c r="P31" s="40" t="n"/>
      <c r="Q31" s="32" t="inlineStr">
        <is>
          <t>A verificar</t>
        </is>
      </c>
      <c r="R31" s="41" t="inlineStr">
        <is>
          <t>n/a</t>
        </is>
      </c>
    </row>
    <row r="32" ht="78" customHeight="1" s="25">
      <c r="A32" s="40" t="n">
        <v>28</v>
      </c>
      <c r="B32" s="40" t="inlineStr">
        <is>
          <t>8. Tratabilidade (fora do score)</t>
        </is>
      </c>
      <c r="C32" s="40" t="inlineStr">
        <is>
          <t>Licenciamento ambiental</t>
        </is>
      </c>
      <c r="D32" s="40" t="inlineStr">
        <is>
          <t>Tratabilidade</t>
        </is>
      </c>
      <c r="E32" s="40" t="inlineStr">
        <is>
          <t>Escala: 5 = mais fácil</t>
        </is>
      </c>
      <c r="F32" s="40" t="inlineStr">
        <is>
          <t>O licenciamento é complexo?</t>
        </is>
      </c>
      <c r="G32" s="40" t="inlineStr">
        <is>
          <t>Complexidade (baixa, média, alta).</t>
        </is>
      </c>
      <c r="H32" s="31" t="inlineStr">
        <is>
          <t>Alta</t>
        </is>
      </c>
      <c r="I32" s="31" t="inlineStr">
        <is>
          <t>—</t>
        </is>
      </c>
      <c r="J32" s="31" t="inlineStr">
        <is>
          <t>Média</t>
        </is>
      </c>
      <c r="K32" s="31" t="inlineStr">
        <is>
          <t>—</t>
        </is>
      </c>
      <c r="L32" s="31" t="inlineStr">
        <is>
          <t>Baixa</t>
        </is>
      </c>
      <c r="M32" s="40" t="inlineStr">
        <is>
          <t>Órgão ambiental municipal/estadual.</t>
        </is>
      </c>
      <c r="N32" s="53" t="n"/>
      <c r="O32" s="40" t="inlineStr">
        <is>
          <t>Órgão ambiental</t>
        </is>
      </c>
      <c r="P32" s="40" t="n"/>
      <c r="Q32" s="32" t="inlineStr">
        <is>
          <t>A verificar</t>
        </is>
      </c>
      <c r="R32" s="41" t="inlineStr">
        <is>
          <t>n/a</t>
        </is>
      </c>
    </row>
    <row r="33" ht="78" customHeight="1" s="25">
      <c r="A33" s="40" t="n">
        <v>29</v>
      </c>
      <c r="B33" s="40" t="inlineStr">
        <is>
          <t>8. Tratabilidade (fora do score)</t>
        </is>
      </c>
      <c r="C33" s="40" t="inlineStr">
        <is>
          <t>Custo de intervenção</t>
        </is>
      </c>
      <c r="D33" s="40" t="inlineStr">
        <is>
          <t>Tratabilidade</t>
        </is>
      </c>
      <c r="E33" s="40" t="inlineStr">
        <is>
          <t>Escala: 5 = mais barato</t>
        </is>
      </c>
      <c r="F33" s="40" t="inlineStr">
        <is>
          <t>Quanto custa resolver?</t>
        </is>
      </c>
      <c r="G33" s="40" t="inlineStr">
        <is>
          <t>Estimativa de custo da intervenção no ponto (quintis dos pontos da RPA 6).</t>
        </is>
      </c>
      <c r="H33" s="31" t="inlineStr">
        <is>
          <t>Quintil mais caro</t>
        </is>
      </c>
      <c r="I33" s="31" t="inlineStr">
        <is>
          <t>Quintil 2</t>
        </is>
      </c>
      <c r="J33" s="31" t="inlineStr">
        <is>
          <t>Quintil 3</t>
        </is>
      </c>
      <c r="K33" s="31" t="inlineStr">
        <is>
          <t>Quintil 4</t>
        </is>
      </c>
      <c r="L33" s="31" t="inlineStr">
        <is>
          <t>Quintil mais barato</t>
        </is>
      </c>
      <c r="M33" s="40" t="inlineStr">
        <is>
          <t>URB / EMLURB.</t>
        </is>
      </c>
      <c r="N33" s="53" t="n"/>
      <c r="O33" s="40" t="inlineStr">
        <is>
          <t>URB; EMLURB</t>
        </is>
      </c>
      <c r="P33" s="40" t="n"/>
      <c r="Q33" s="32" t="inlineStr">
        <is>
          <t>A verificar</t>
        </is>
      </c>
      <c r="R33" s="41" t="inlineStr">
        <is>
          <t>n/a</t>
        </is>
      </c>
    </row>
    <row r="34" ht="78" customHeight="1" s="25">
      <c r="A34" s="40" t="n">
        <v>30</v>
      </c>
      <c r="B34" s="40" t="inlineStr">
        <is>
          <t>8. Tratabilidade (fora do score)</t>
        </is>
      </c>
      <c r="C34" s="40" t="inlineStr">
        <is>
          <t>Governança do ponto</t>
        </is>
      </c>
      <c r="D34" s="40" t="inlineStr">
        <is>
          <t>Tratabilidade</t>
        </is>
      </c>
      <c r="E34" s="40" t="inlineStr">
        <is>
          <t>Escala: 5 = mais fácil</t>
        </is>
      </c>
      <c r="F34" s="40" t="inlineStr">
        <is>
          <t>Existe dono e protocolo para o ponto?</t>
        </is>
      </c>
      <c r="G34" s="40" t="inlineStr">
        <is>
          <t>Classificação por levantamento institucional.</t>
        </is>
      </c>
      <c r="H34" s="31" t="inlineStr">
        <is>
          <t>Sem dono ou conflito de competência</t>
        </is>
      </c>
      <c r="I34" s="31" t="inlineStr">
        <is>
          <t>—</t>
        </is>
      </c>
      <c r="J34" s="31" t="inlineStr">
        <is>
          <t>Dono definido, sem protocolo</t>
        </is>
      </c>
      <c r="K34" s="31" t="inlineStr">
        <is>
          <t>—</t>
        </is>
      </c>
      <c r="L34" s="31" t="inlineStr">
        <is>
          <t>Dono e protocolo definidos</t>
        </is>
      </c>
      <c r="M34" s="40" t="inlineStr">
        <is>
          <t>Escuta com o COP e os órgãos.</t>
        </is>
      </c>
      <c r="N34" s="53" t="n"/>
      <c r="O34" s="40" t="inlineStr">
        <is>
          <t>COP; órgãos</t>
        </is>
      </c>
      <c r="P34" s="40" t="inlineStr">
        <is>
          <t>Ligado às 5 perguntas para o COP (nota de Discussão).</t>
        </is>
      </c>
      <c r="Q34" s="32" t="inlineStr">
        <is>
          <t>A verificar</t>
        </is>
      </c>
      <c r="R34" s="41" t="inlineStr">
        <is>
          <t>n/a</t>
        </is>
      </c>
    </row>
    <row r="35" ht="78" customHeight="1" s="25">
      <c r="A35" s="40" t="n">
        <v>31</v>
      </c>
      <c r="B35" s="40" t="inlineStr">
        <is>
          <t>8. Tratabilidade (fora do score)</t>
        </is>
      </c>
      <c r="C35" s="40" t="inlineStr">
        <is>
          <t>Janela de oportunidade</t>
        </is>
      </c>
      <c r="D35" s="40" t="inlineStr">
        <is>
          <t>Tratabilidade</t>
        </is>
      </c>
      <c r="E35" s="40" t="inlineStr">
        <is>
          <t>Escala: 5 = mais fácil</t>
        </is>
      </c>
      <c r="F35" s="40" t="inlineStr">
        <is>
          <t>Há obra ou orçamento em andamento perto do ponto?</t>
        </is>
      </c>
      <c r="G35" s="40" t="inlineStr">
        <is>
          <t>Classificação por levantamento.</t>
        </is>
      </c>
      <c r="H35" s="31" t="inlineStr">
        <is>
          <t>Nenhum projeto ou obra próxima</t>
        </is>
      </c>
      <c r="I35" s="31" t="inlineStr">
        <is>
          <t>—</t>
        </is>
      </c>
      <c r="J35" s="31" t="inlineStr">
        <is>
          <t>Projeto previsto</t>
        </is>
      </c>
      <c r="K35" s="31" t="inlineStr">
        <is>
          <t>—</t>
        </is>
      </c>
      <c r="L35" s="31" t="inlineStr">
        <is>
          <t>Obra ou orçamento em andamento</t>
        </is>
      </c>
      <c r="M35" s="40" t="inlineStr">
        <is>
          <t>URB; planejamento da Prefeitura.</t>
        </is>
      </c>
      <c r="N35" s="53" t="n"/>
      <c r="O35" s="40" t="inlineStr">
        <is>
          <t>URB; planejamento</t>
        </is>
      </c>
      <c r="P35" s="40" t="n"/>
      <c r="Q35" s="32" t="inlineStr">
        <is>
          <t>A verificar</t>
        </is>
      </c>
      <c r="R35" s="41" t="inlineStr">
        <is>
          <t>n/a</t>
        </is>
      </c>
    </row>
    <row r="37">
      <c r="Q37" s="42" t="inlineStr">
        <is>
          <t>Soma dos pesos</t>
        </is>
      </c>
      <c r="R37" s="43">
        <f>SUM(R5:R28)</f>
        <v/>
      </c>
    </row>
    <row r="38">
      <c r="Q38" s="42" t="inlineStr">
        <is>
          <t>Checagem</t>
        </is>
      </c>
      <c r="R38" s="42">
        <f>IF(R37=0,"Pesos ainda não definidos",IF(ROUND(R37,4)=1,"OK: soma 100%","Ajustar: soma diferente de 100%"))</f>
        <v/>
      </c>
    </row>
    <row r="40">
      <c r="B40" s="42" t="inlineStr">
        <is>
          <t>Soma dos pesos por dimensão (para comparar com SP: Danos evitados 21,7% · Social 20,5% · Econômico 17,5% · Ambiental 15,5% · Construtivo 11,9% · Técnico 6,0% · Infraestrutura 3,9% · Repercussão 3,0%)</t>
        </is>
      </c>
    </row>
    <row r="41">
      <c r="B41" s="44" t="inlineStr">
        <is>
          <t>1. Hidrológico</t>
        </is>
      </c>
      <c r="C41" s="45">
        <f>SUMIF($B$5:$B$28,B41,$R$5:$R$28)</f>
        <v/>
      </c>
    </row>
    <row r="42">
      <c r="B42" s="46" t="inlineStr">
        <is>
          <t>2. Social</t>
        </is>
      </c>
      <c r="C42" s="45">
        <f>SUMIF($B$5:$B$28,B42,$R$5:$R$28)</f>
        <v/>
      </c>
    </row>
    <row r="43">
      <c r="B43" s="47" t="inlineStr">
        <is>
          <t>3. Econômico</t>
        </is>
      </c>
      <c r="C43" s="45">
        <f>SUMIF($B$5:$B$28,B43,$R$5:$R$28)</f>
        <v/>
      </c>
    </row>
    <row r="44">
      <c r="B44" s="48" t="inlineStr">
        <is>
          <t>4. Infraestrutura urbana e mobilidade</t>
        </is>
      </c>
      <c r="C44" s="45">
        <f>SUMIF($B$5:$B$28,B44,$R$5:$R$28)</f>
        <v/>
      </c>
    </row>
    <row r="45">
      <c r="B45" s="49" t="inlineStr">
        <is>
          <t>5. Ambiental e sanitário</t>
        </is>
      </c>
      <c r="C45" s="45">
        <f>SUMIF($B$5:$B$28,B45,$R$5:$R$28)</f>
        <v/>
      </c>
    </row>
    <row r="46">
      <c r="B46" s="50" t="inlineStr">
        <is>
          <t>6. Técnico (sistema de drenagem)</t>
        </is>
      </c>
      <c r="C46" s="45">
        <f>SUMIF($B$5:$B$28,B46,$R$5:$R$28)</f>
        <v/>
      </c>
    </row>
    <row r="47">
      <c r="B47" s="51" t="inlineStr">
        <is>
          <t>7. Político e institucional</t>
        </is>
      </c>
      <c r="C47" s="45">
        <f>SUMIF($B$5:$B$28,B47,$R$5:$R$28)</f>
        <v/>
      </c>
    </row>
  </sheetData>
  <autoFilter ref="A4:R4"/>
  <dataValidations count="2">
    <dataValidation sqref="Q5:Q35" showDropDown="0" showInputMessage="0" showErrorMessage="0" allowBlank="1" type="list">
      <formula1>"Tenho,Pedir,Não existe,A verificar"</formula1>
    </dataValidation>
    <dataValidation sqref="R5:R28" showDropDown="0" showInputMessage="0" showErrorMessage="0" allowBlank="1" errorTitle="Peso inválido" error="Digite uma fração entre 0 e 1 (ex.: 0,05 = 5%)." type="decimal">
      <formula1>0</formula1>
      <formula2>1</formula2>
    </dataValidation>
  </dataValidation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11" r:id="rId3"/>
    <hyperlink xmlns:r="http://schemas.openxmlformats.org/officeDocument/2006/relationships" ref="N12" r:id="rId4"/>
    <hyperlink xmlns:r="http://schemas.openxmlformats.org/officeDocument/2006/relationships" ref="N13" r:id="rId5"/>
    <hyperlink xmlns:r="http://schemas.openxmlformats.org/officeDocument/2006/relationships" ref="N14" r:id="rId6"/>
    <hyperlink xmlns:r="http://schemas.openxmlformats.org/officeDocument/2006/relationships" ref="N15" r:id="rId7"/>
    <hyperlink xmlns:r="http://schemas.openxmlformats.org/officeDocument/2006/relationships" ref="N17" r:id="rId8"/>
    <hyperlink xmlns:r="http://schemas.openxmlformats.org/officeDocument/2006/relationships" ref="N21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25" min="1" max="1"/>
    <col width="36" customWidth="1" style="25" min="2" max="2"/>
    <col width="26" customWidth="1" style="25" min="3" max="3"/>
    <col width="36" customWidth="1" style="25" min="4" max="4"/>
    <col width="38" customWidth="1" style="25" min="5" max="5"/>
    <col width="8" customWidth="1" style="25" min="6" max="6"/>
    <col width="50" customWidth="1" style="25" min="7" max="7"/>
    <col width="20" customWidth="1" style="25" min="8" max="8"/>
    <col width="14" customWidth="1" style="25" min="9" max="9"/>
    <col width="16" customWidth="1" style="25" min="10" max="10"/>
    <col width="40" customWidth="1" style="25" min="11" max="11"/>
  </cols>
  <sheetData>
    <row r="1" ht="18" customHeight="1" s="25">
      <c r="A1" s="1" t="inlineStr">
        <is>
          <t>Inventário de fontes de dados</t>
        </is>
      </c>
    </row>
    <row r="2">
      <c r="A2" s="2" t="inlineStr">
        <is>
          <t>Verificação: 'Confirmado na busca' = o site/base existe (conteúdo não aberto na íntegra). 'Não verificado' = conhecimento geral, conferir.</t>
        </is>
      </c>
    </row>
    <row r="4">
      <c r="A4" s="5" t="inlineStr">
        <is>
          <t>Nº</t>
        </is>
      </c>
      <c r="B4" s="5" t="inlineStr">
        <is>
          <t>Fonte</t>
        </is>
      </c>
      <c r="C4" s="5" t="inlineStr">
        <is>
          <t>Órgão</t>
        </is>
      </c>
      <c r="D4" s="5" t="inlineStr">
        <is>
          <t>Dado que fornece</t>
        </is>
      </c>
      <c r="E4" s="5" t="inlineStr">
        <is>
          <t>Subcritérios atendidos</t>
        </is>
      </c>
      <c r="F4" s="5" t="inlineStr">
        <is>
          <t>Link</t>
        </is>
      </c>
      <c r="G4" s="5" t="inlineStr">
        <is>
          <t>Como obter</t>
        </is>
      </c>
      <c r="H4" s="5" t="inlineStr">
        <is>
          <t>Verificação</t>
        </is>
      </c>
      <c r="I4" s="5" t="inlineStr">
        <is>
          <t>Status</t>
        </is>
      </c>
      <c r="J4" s="5" t="inlineStr">
        <is>
          <t>Responsável</t>
        </is>
      </c>
      <c r="K4" s="5" t="inlineStr">
        <is>
          <t>Observações</t>
        </is>
      </c>
    </row>
    <row r="5" ht="62.1" customHeight="1" s="25">
      <c r="A5" s="6" t="n">
        <v>1</v>
      </c>
      <c r="B5" s="6" t="inlineStr">
        <is>
          <t>Censo 2022: agregados por setor censitário</t>
        </is>
      </c>
      <c r="C5" s="6" t="inlineStr">
        <is>
          <t>IBGE</t>
        </is>
      </c>
      <c r="D5" s="6" t="inlineStr">
        <is>
          <t>População e domicílios por setor</t>
        </is>
      </c>
      <c r="E5" s="6" t="inlineStr">
        <is>
          <t>População exposta; Grupos sensíveis</t>
        </is>
      </c>
      <c r="F5" s="8" t="inlineStr">
        <is>
          <t>Abrir</t>
        </is>
      </c>
      <c r="G5" s="6" t="inlineStr">
        <is>
          <t>Download público do arquivo de agregados (Pernambuco).</t>
        </is>
      </c>
      <c r="H5" s="9" t="inlineStr">
        <is>
          <t>Confirmado na busca</t>
        </is>
      </c>
      <c r="I5" s="7" t="inlineStr">
        <is>
          <t>A verificar</t>
        </is>
      </c>
      <c r="J5" s="7" t="n"/>
      <c r="K5" s="6" t="inlineStr">
        <is>
          <t>Juntar com a malha de setores para o cálculo no círculo.</t>
        </is>
      </c>
    </row>
    <row r="6" ht="62.1" customHeight="1" s="25">
      <c r="A6" s="6" t="n">
        <v>2</v>
      </c>
      <c r="B6" s="6" t="inlineStr">
        <is>
          <t>Malha de setores censitários 2022</t>
        </is>
      </c>
      <c r="C6" s="6" t="inlineStr">
        <is>
          <t>IBGE</t>
        </is>
      </c>
      <c r="D6" s="6" t="inlineStr">
        <is>
          <t>Polígonos dos setores (shapefile/geopackage)</t>
        </is>
      </c>
      <c r="E6" s="6" t="inlineStr">
        <is>
          <t>População exposta; Grupos sensíveis</t>
        </is>
      </c>
      <c r="F6" s="8" t="inlineStr">
        <is>
          <t>Abrir</t>
        </is>
      </c>
      <c r="G6" s="6" t="inlineStr">
        <is>
          <t>Geociências → Estrutura Territorial → Malha de Setores Censitários.</t>
        </is>
      </c>
      <c r="H6" s="9" t="inlineStr">
        <is>
          <t>Confirmado na busca</t>
        </is>
      </c>
      <c r="I6" s="7" t="inlineStr">
        <is>
          <t>A verificar</t>
        </is>
      </c>
      <c r="J6" s="7" t="n"/>
      <c r="K6" s="6" t="inlineStr">
        <is>
          <t>Formato shapefile, geopackage ou KML.</t>
        </is>
      </c>
    </row>
    <row r="7" ht="62.1" customHeight="1" s="25">
      <c r="A7" s="6" t="n">
        <v>3</v>
      </c>
      <c r="B7" s="6" t="inlineStr">
        <is>
          <t>Portal de Dados Abertos da Prefeitura do Recife</t>
        </is>
      </c>
      <c r="C7" s="6" t="inlineStr">
        <is>
          <t>Prefeitura do Recife</t>
        </is>
      </c>
      <c r="D7" s="6" t="inlineStr">
        <is>
          <t>222 conjuntos (saúde, CTTU, meio ambiente, empresas, infraestrutura urbana)</t>
        </is>
      </c>
      <c r="E7" s="6" t="inlineStr">
        <is>
          <t>Comércios; Edificações; Vias; Área sensível; Equipamentos</t>
        </is>
      </c>
      <c r="F7" s="8" t="inlineStr">
        <is>
          <t>Abrir</t>
        </is>
      </c>
      <c r="G7" s="6" t="inlineStr">
        <is>
          <t>Menu 'Conjunto de dados'. Buscar: drenagem, alagamento, canal, 156, pluviômetro, empresas, vias.</t>
        </is>
      </c>
      <c r="H7" s="9" t="inlineStr">
        <is>
          <t>Confirmado na busca</t>
        </is>
      </c>
      <c r="I7" s="7" t="inlineStr">
        <is>
          <t>A verificar</t>
        </is>
      </c>
      <c r="J7" s="7" t="n"/>
      <c r="K7" s="6" t="inlineStr">
        <is>
          <t>Não foi verificado se há camada de alagamento ou drenagem.</t>
        </is>
      </c>
    </row>
    <row r="8" ht="62.1" customHeight="1" s="25">
      <c r="A8" s="6" t="n">
        <v>4</v>
      </c>
      <c r="B8" s="6" t="inlineStr">
        <is>
          <t>Hub de Dados Abertos da Prefeitura do Recife</t>
        </is>
      </c>
      <c r="C8" s="6" t="inlineStr">
        <is>
          <t>Prefeitura do Recife</t>
        </is>
      </c>
      <c r="D8" s="6" t="inlineStr">
        <is>
          <t>Camadas geográficas</t>
        </is>
      </c>
      <c r="E8" s="6" t="inlineStr">
        <is>
          <t>Vários subcritérios [SIG]</t>
        </is>
      </c>
      <c r="F8" s="8" t="inlineStr">
        <is>
          <t>Abrir</t>
        </is>
      </c>
      <c r="G8" s="6" t="inlineStr">
        <is>
          <t>Navegar o catálogo de camadas; baixar as que cobrem a RPA 6.</t>
        </is>
      </c>
      <c r="H8" s="9" t="inlineStr">
        <is>
          <t>Confirmado na busca</t>
        </is>
      </c>
      <c r="I8" s="7" t="inlineStr">
        <is>
          <t>A verificar</t>
        </is>
      </c>
      <c r="J8" s="7" t="n"/>
      <c r="K8" s="6" t="inlineStr">
        <is>
          <t>Conferir formatos disponíveis.</t>
        </is>
      </c>
    </row>
    <row r="9" ht="62.1" customHeight="1" s="25">
      <c r="A9" s="6" t="n">
        <v>5</v>
      </c>
      <c r="B9" s="6" t="inlineStr">
        <is>
          <t>Mapa interativo de pluviômetros automáticos</t>
        </is>
      </c>
      <c r="C9" s="6" t="inlineStr">
        <is>
          <t>Cemaden</t>
        </is>
      </c>
      <c r="D9" s="6" t="inlineStr">
        <is>
          <t>Chuva por pluviômetro; histórico desde 2013</t>
        </is>
      </c>
      <c r="E9" s="6" t="inlineStr">
        <is>
          <t>Gatilho de chuva; Frequência</t>
        </is>
      </c>
      <c r="F9" s="8" t="inlineStr">
        <is>
          <t>Abrir</t>
        </is>
      </c>
      <c r="G9" s="6" t="inlineStr">
        <is>
          <t>Botão 'Download de Dados', escolher o equipamento e preencher formulário; o link chega por e-mail. Mês a mês.</t>
        </is>
      </c>
      <c r="H9" s="9" t="inlineStr">
        <is>
          <t>Confirmado na busca</t>
        </is>
      </c>
      <c r="I9" s="7" t="inlineStr">
        <is>
          <t>A verificar</t>
        </is>
      </c>
      <c r="J9" s="7" t="n"/>
      <c r="K9" s="6" t="inlineStr">
        <is>
          <t>Sedec usa 8 pluviômetros do Cemaden no Recife (ex.: Imbiribeira).</t>
        </is>
      </c>
    </row>
    <row r="10" ht="62.1" customHeight="1" s="25">
      <c r="A10" s="6" t="n">
        <v>6</v>
      </c>
      <c r="B10" s="6" t="inlineStr">
        <is>
          <t>Meteorologia / monitoramento de chuvas</t>
        </is>
      </c>
      <c r="C10" s="6" t="inlineStr">
        <is>
          <t>APAC</t>
        </is>
      </c>
      <c r="D10" s="6" t="inlineStr">
        <is>
          <t>Chuva por pluviômetro, banco estadual de precipitação</t>
        </is>
      </c>
      <c r="E10" s="6" t="inlineStr">
        <is>
          <t>Gatilho de chuva; Influência da maré</t>
        </is>
      </c>
      <c r="F10" s="8" t="inlineStr">
        <is>
          <t>Abrir</t>
        </is>
      </c>
      <c r="G10" s="6" t="inlineStr">
        <is>
          <t>Consultar por período, pluviômetro e mesorregião.</t>
        </is>
      </c>
      <c r="H10" s="9" t="inlineStr">
        <is>
          <t>Confirmado na busca</t>
        </is>
      </c>
      <c r="I10" s="7" t="inlineStr">
        <is>
          <t>A verificar</t>
        </is>
      </c>
      <c r="J10" s="7" t="n"/>
      <c r="K10" s="6" t="inlineStr">
        <is>
          <t>Rede estadual de 352 pluviômetros.</t>
        </is>
      </c>
    </row>
    <row r="11" ht="62.1" customHeight="1" s="25">
      <c r="A11" s="6" t="n">
        <v>7</v>
      </c>
      <c r="B11" s="6" t="inlineStr">
        <is>
          <t>Índice de Vulnerabilidade Social (IVS)</t>
        </is>
      </c>
      <c r="C11" s="6" t="inlineStr">
        <is>
          <t>Ipea</t>
        </is>
      </c>
      <c r="D11" s="6" t="inlineStr">
        <is>
          <t>IVS por UDH (infraestrutura urbana, capital humano, renda e trabalho)</t>
        </is>
      </c>
      <c r="E11" s="6" t="inlineStr">
        <is>
          <t>Vulnerabilidade social</t>
        </is>
      </c>
      <c r="F11" s="8" t="inlineStr">
        <is>
          <t>Abrir</t>
        </is>
      </c>
      <c r="G11" s="6" t="inlineStr">
        <is>
          <t>Mapa e download no site do Ipea; Atlas do Desenvolvimento Humano.</t>
        </is>
      </c>
      <c r="H11" s="9" t="inlineStr">
        <is>
          <t>Confirmado na busca</t>
        </is>
      </c>
      <c r="I11" s="7" t="inlineStr">
        <is>
          <t>A verificar</t>
        </is>
      </c>
      <c r="J11" s="7" t="n"/>
      <c r="K11" s="6" t="inlineStr">
        <is>
          <t>Anos 2000 e 2010; granularidade UDH.</t>
        </is>
      </c>
    </row>
    <row r="12" ht="62.1" customHeight="1" s="25">
      <c r="A12" s="6" t="n">
        <v>8</v>
      </c>
      <c r="B12" s="6" t="inlineStr">
        <is>
          <t>Registro de ocorrências de alagamento</t>
        </is>
      </c>
      <c r="C12" s="6" t="inlineStr">
        <is>
          <t>COP / Defesa Civil (Sedec)</t>
        </is>
      </c>
      <c r="D12" s="6" t="inlineStr">
        <is>
          <t>Ocorrências por local e data</t>
        </is>
      </c>
      <c r="E12" s="6" t="inlineStr">
        <is>
          <t>Frequência; Gatilho; Altura da lâmina; Duração; Pressão institucional</t>
        </is>
      </c>
      <c r="F12" s="6" t="n"/>
      <c r="G12" s="6" t="inlineStr">
        <is>
          <t>Solicitar à COP e à Defesa Civil, preferencialmente via tutora/CGM.</t>
        </is>
      </c>
      <c r="H12" s="6" t="inlineStr">
        <is>
          <t>Não verificado</t>
        </is>
      </c>
      <c r="I12" s="7" t="inlineStr">
        <is>
          <t>A verificar</t>
        </is>
      </c>
      <c r="J12" s="7" t="n"/>
      <c r="K12" s="6" t="inlineStr">
        <is>
          <t>É a fonte mais crítica. Perguntar formato e série histórica.</t>
        </is>
      </c>
    </row>
    <row r="13" ht="62.1" customHeight="1" s="25">
      <c r="A13" s="6" t="n">
        <v>9</v>
      </c>
      <c r="B13" s="6" t="inlineStr">
        <is>
          <t>Base de reclamações do 156</t>
        </is>
      </c>
      <c r="C13" s="6" t="inlineStr">
        <is>
          <t>Prefeitura do Recife</t>
        </is>
      </c>
      <c r="D13" s="6" t="inlineStr">
        <is>
          <t>Reclamações por tipo e endereço</t>
        </is>
      </c>
      <c r="E13" s="6" t="inlineStr">
        <is>
          <t>Repercussão; Frequência (complemento)</t>
        </is>
      </c>
      <c r="F13" s="6" t="n"/>
      <c r="G13" s="6" t="inlineStr">
        <is>
          <t>Verificar se há base aberta; senão, solicitar extração por categoria (alagamento, drenagem, obstrução).</t>
        </is>
      </c>
      <c r="H13" s="6" t="inlineStr">
        <is>
          <t>Não verificado</t>
        </is>
      </c>
      <c r="I13" s="7" t="inlineStr">
        <is>
          <t>A verificar</t>
        </is>
      </c>
      <c r="J13" s="7" t="n"/>
      <c r="K13" s="6" t="n"/>
    </row>
    <row r="14" ht="62.1" customHeight="1" s="25">
      <c r="A14" s="6" t="n">
        <v>10</v>
      </c>
      <c r="B14" s="6" t="inlineStr">
        <is>
          <t>Registros de serviço e vistoria</t>
        </is>
      </c>
      <c r="C14" s="6" t="inlineStr">
        <is>
          <t>EMLURB</t>
        </is>
      </c>
      <c r="D14" s="6" t="inlineStr">
        <is>
          <t>Limpeza de canais, manutenção, vistoria de drenagem</t>
        </is>
      </c>
      <c r="E14" s="6" t="inlineStr">
        <is>
          <t>Custo recorrente; Fragilidade; Dependência de equipamento</t>
        </is>
      </c>
      <c r="F14" s="6" t="n"/>
      <c r="G14" s="6" t="inlineStr">
        <is>
          <t>Solicitar à EMLURB; combinar vistoria com checklist.</t>
        </is>
      </c>
      <c r="H14" s="6" t="inlineStr">
        <is>
          <t>Não verificado</t>
        </is>
      </c>
      <c r="I14" s="7" t="inlineStr">
        <is>
          <t>A verificar</t>
        </is>
      </c>
      <c r="J14" s="7" t="n"/>
      <c r="K14" s="6" t="inlineStr">
        <is>
          <t>Definir quem faz a vistoria.</t>
        </is>
      </c>
    </row>
    <row r="15" ht="62.1" customHeight="1" s="25">
      <c r="A15" s="6" t="n">
        <v>11</v>
      </c>
      <c r="B15" s="6" t="inlineStr">
        <is>
          <t>Projetos e obras de drenagem</t>
        </is>
      </c>
      <c r="C15" s="6" t="inlineStr">
        <is>
          <t>URB</t>
        </is>
      </c>
      <c r="D15" s="6" t="inlineStr">
        <is>
          <t>Obras em andamento e previstas, custos</t>
        </is>
      </c>
      <c r="E15" s="6" t="inlineStr">
        <is>
          <t>Tratabilidade (prazo, custo, desapropriação, janela de oportunidade)</t>
        </is>
      </c>
      <c r="F15" s="6" t="n"/>
      <c r="G15" s="6" t="inlineStr">
        <is>
          <t>Solicitar à URB; também consultar o sistema Target, se aplicável.</t>
        </is>
      </c>
      <c r="H15" s="6" t="inlineStr">
        <is>
          <t>Não verificado</t>
        </is>
      </c>
      <c r="I15" s="7" t="inlineStr">
        <is>
          <t>A verificar</t>
        </is>
      </c>
      <c r="J15" s="7" t="n"/>
      <c r="K15" s="6" t="n"/>
    </row>
    <row r="16" ht="62.1" customHeight="1" s="25">
      <c r="A16" s="6" t="n">
        <v>12</v>
      </c>
      <c r="B16" s="6" t="inlineStr">
        <is>
          <t>Rede de esgoto e extravasamentos</t>
        </is>
      </c>
      <c r="C16" s="6" t="inlineStr">
        <is>
          <t>Compesa</t>
        </is>
      </c>
      <c r="D16" s="6" t="inlineStr">
        <is>
          <t>Rede de esgoto, ocorrências</t>
        </is>
      </c>
      <c r="E16" s="6" t="inlineStr">
        <is>
          <t>Risco sanitário; Infraestrutura crítica</t>
        </is>
      </c>
      <c r="F16" s="6" t="n"/>
      <c r="G16" s="6" t="inlineStr">
        <is>
          <t>Solicitar à Compesa.</t>
        </is>
      </c>
      <c r="H16" s="6" t="inlineStr">
        <is>
          <t>Não verificado</t>
        </is>
      </c>
      <c r="I16" s="7" t="inlineStr">
        <is>
          <t>A verificar</t>
        </is>
      </c>
      <c r="J16" s="7" t="n"/>
      <c r="K16" s="6" t="n"/>
    </row>
    <row r="17" ht="62.1" customHeight="1" s="25">
      <c r="A17" s="6" t="n">
        <v>13</v>
      </c>
      <c r="B17" s="6" t="inlineStr">
        <is>
          <t>Cadastro de infraestrutura crítica</t>
        </is>
      </c>
      <c r="C17" s="6" t="inlineStr">
        <is>
          <t>Concessionárias de energia e telecom; Prefeitura</t>
        </is>
      </c>
      <c r="D17" s="6" t="inlineStr">
        <is>
          <t>Subestações, torres, redes</t>
        </is>
      </c>
      <c r="E17" s="6" t="inlineStr">
        <is>
          <t>Infraestrutura crítica</t>
        </is>
      </c>
      <c r="F17" s="6" t="n"/>
      <c r="G17" s="6" t="inlineStr">
        <is>
          <t>Solicitar; alternativa: levantamento qualitativo com a Defesa Civil.</t>
        </is>
      </c>
      <c r="H17" s="6" t="inlineStr">
        <is>
          <t>Não verificado</t>
        </is>
      </c>
      <c r="I17" s="7" t="inlineStr">
        <is>
          <t>A verificar</t>
        </is>
      </c>
      <c r="J17" s="7" t="n"/>
      <c r="K17" s="6" t="n"/>
    </row>
    <row r="18" ht="62.1" customHeight="1" s="25">
      <c r="A18" s="6" t="n">
        <v>14</v>
      </c>
      <c r="B18" s="6" t="inlineStr">
        <is>
          <t>CNES / DATASUS</t>
        </is>
      </c>
      <c r="C18" s="6" t="inlineStr">
        <is>
          <t>Ministério da Saúde</t>
        </is>
      </c>
      <c r="D18" s="6" t="inlineStr">
        <is>
          <t>Estabelecimentos de saúde georreferenciáveis</t>
        </is>
      </c>
      <c r="E18" s="6" t="inlineStr">
        <is>
          <t>Equipamentos de emergência; Acessibilidade de resposta</t>
        </is>
      </c>
      <c r="F18" s="6" t="n"/>
      <c r="G18" s="6" t="inlineStr">
        <is>
          <t>Download do cadastro de estabelecimentos de Recife e geocodificação.</t>
        </is>
      </c>
      <c r="H18" s="6" t="inlineStr">
        <is>
          <t>Não verificado</t>
        </is>
      </c>
      <c r="I18" s="7" t="inlineStr">
        <is>
          <t>A verificar</t>
        </is>
      </c>
      <c r="J18" s="7" t="n"/>
      <c r="K18" s="6" t="n"/>
    </row>
    <row r="19" ht="62.1" customHeight="1" s="25">
      <c r="A19" s="6" t="n">
        <v>15</v>
      </c>
      <c r="B19" s="6" t="inlineStr">
        <is>
          <t>OpenStreetMap</t>
        </is>
      </c>
      <c r="C19" s="6" t="inlineStr">
        <is>
          <t>Comunidade OSM</t>
        </is>
      </c>
      <c r="D19" s="6" t="inlineStr">
        <is>
          <t>Vias, comércios, equipamentos</t>
        </is>
      </c>
      <c r="E19" s="6" t="inlineStr">
        <is>
          <t>Vias; Comércios; Equipamentos</t>
        </is>
      </c>
      <c r="F19" s="6" t="n"/>
      <c r="G19" s="6" t="inlineStr">
        <is>
          <t>Download por extração regional (por exemplo, Geofabrik) ou Overpass.</t>
        </is>
      </c>
      <c r="H19" s="6" t="inlineStr">
        <is>
          <t>Não verificado</t>
        </is>
      </c>
      <c r="I19" s="7" t="inlineStr">
        <is>
          <t>A verificar</t>
        </is>
      </c>
      <c r="J19" s="7" t="n"/>
      <c r="K19" s="6" t="inlineStr">
        <is>
          <t>Qualidade varia por bairro.</t>
        </is>
      </c>
    </row>
    <row r="20" ht="62.1" customHeight="1" s="25">
      <c r="A20" s="6" t="n">
        <v>16</v>
      </c>
      <c r="B20" s="6" t="inlineStr">
        <is>
          <t>MapBiomas</t>
        </is>
      </c>
      <c r="C20" s="6" t="inlineStr">
        <is>
          <t>MapBiomas</t>
        </is>
      </c>
      <c r="D20" s="6" t="inlineStr">
        <is>
          <t>Cobertura e uso do solo</t>
        </is>
      </c>
      <c r="E20" s="6" t="inlineStr">
        <is>
          <t>Infraestrutura verde; Área sensível</t>
        </is>
      </c>
      <c r="F20" s="6" t="n"/>
      <c r="G20" s="6" t="inlineStr">
        <is>
          <t>Download da coleção para a área de Recife.</t>
        </is>
      </c>
      <c r="H20" s="6" t="inlineStr">
        <is>
          <t>Não verificado</t>
        </is>
      </c>
      <c r="I20" s="7" t="inlineStr">
        <is>
          <t>A verificar</t>
        </is>
      </c>
      <c r="J20" s="7" t="n"/>
      <c r="K20" s="6" t="n"/>
    </row>
    <row r="21" ht="62.1" customHeight="1" s="25">
      <c r="A21" s="6" t="n">
        <v>17</v>
      </c>
      <c r="B21" s="6" t="inlineStr">
        <is>
          <t>Tábua de marés</t>
        </is>
      </c>
      <c r="C21" s="6" t="inlineStr">
        <is>
          <t>Marinha do Brasil / Porto do Recife</t>
        </is>
      </c>
      <c r="D21" s="6" t="inlineStr">
        <is>
          <t>Previsão de marés</t>
        </is>
      </c>
      <c r="E21" s="6" t="inlineStr">
        <is>
          <t>Influência da maré</t>
        </is>
      </c>
      <c r="F21" s="6" t="n"/>
      <c r="G21" s="6" t="inlineStr">
        <is>
          <t>Consultar tábua do porto de Recife.</t>
        </is>
      </c>
      <c r="H21" s="6" t="inlineStr">
        <is>
          <t>Não verificado</t>
        </is>
      </c>
      <c r="I21" s="7" t="inlineStr">
        <is>
          <t>A verificar</t>
        </is>
      </c>
      <c r="J21" s="7" t="n"/>
      <c r="K21" s="6" t="n"/>
    </row>
    <row r="22" ht="62.1" customHeight="1" s="25">
      <c r="A22" s="6" t="n">
        <v>18</v>
      </c>
      <c r="B22" s="6" t="inlineStr">
        <is>
          <t>Linhas e itinerários de ônibus</t>
        </is>
      </c>
      <c r="C22" s="6" t="inlineStr">
        <is>
          <t>CTTU / Grande Recife Consórcio</t>
        </is>
      </c>
      <c r="D22" s="6" t="inlineStr">
        <is>
          <t>Itinerários e frequência</t>
        </is>
      </c>
      <c r="E22" s="6" t="inlineStr">
        <is>
          <t>Vias e mobilidade afetadas</t>
        </is>
      </c>
      <c r="F22" s="6" t="n"/>
      <c r="G22" s="6" t="inlineStr">
        <is>
          <t>Verificar dados abertos do transporte.</t>
        </is>
      </c>
      <c r="H22" s="6" t="inlineStr">
        <is>
          <t>Não verificado</t>
        </is>
      </c>
      <c r="I22" s="7" t="inlineStr">
        <is>
          <t>A verificar</t>
        </is>
      </c>
      <c r="J22" s="7" t="n"/>
      <c r="K22" s="6" t="n"/>
    </row>
    <row r="23" ht="62.1" customHeight="1" s="25">
      <c r="A23" s="6" t="n">
        <v>19</v>
      </c>
      <c r="B23" s="6" t="inlineStr">
        <is>
          <t>PMDR: Plano Municipal de Drenagem</t>
        </is>
      </c>
      <c r="C23" s="6" t="inlineStr">
        <is>
          <t>Prefeitura do Recife</t>
        </is>
      </c>
      <c r="D23" s="6" t="inlineStr">
        <is>
          <t>Bacias, sub-bacias, diretrizes</t>
        </is>
      </c>
      <c r="E23" s="6" t="inlineStr">
        <is>
          <t>Posição na bacia</t>
        </is>
      </c>
      <c r="F23" s="6" t="n"/>
      <c r="G23" s="6" t="inlineStr">
        <is>
          <t>Art. 9º já transcrito no vault; conferir quais sub-bacias compõem a RPA 6.</t>
        </is>
      </c>
      <c r="H23" s="6" t="inlineStr">
        <is>
          <t>Não verificado</t>
        </is>
      </c>
      <c r="I23" s="7" t="inlineStr">
        <is>
          <t>A verificar</t>
        </is>
      </c>
      <c r="J23" s="7" t="n"/>
      <c r="K23" s="6" t="inlineStr">
        <is>
          <t>Hierarquia: Bacia → Sub-bacia → Ponto Crítico → Obra.</t>
        </is>
      </c>
    </row>
    <row r="24" ht="62.1" customHeight="1" s="25">
      <c r="A24" s="6" t="n">
        <v>20</v>
      </c>
      <c r="B24" s="6" t="inlineStr">
        <is>
          <t>Shapefile da rede hidrográfica</t>
        </is>
      </c>
      <c r="C24" s="6" t="inlineStr">
        <is>
          <t>Arquivo próprio (ArcGIS Pro)</t>
        </is>
      </c>
      <c r="D24" s="6" t="inlineStr">
        <is>
          <t>15 feições de rios e riachos de Recife</t>
        </is>
      </c>
      <c r="E24" s="6" t="inlineStr">
        <is>
          <t>Posição na bacia</t>
        </is>
      </c>
      <c r="F24" s="6" t="n"/>
      <c r="G24" s="6" t="inlineStr">
        <is>
          <t>Arquivo exportado pelo próprio Pedro (exportação_rio_riacho.shp), na Área de Trabalho/vault.</t>
        </is>
      </c>
      <c r="H24" s="6" t="inlineStr">
        <is>
          <t>Não verificado</t>
        </is>
      </c>
      <c r="I24" s="7" t="inlineStr">
        <is>
          <t>A verificar</t>
        </is>
      </c>
      <c r="J24" s="7" t="n"/>
      <c r="K24" s="6" t="inlineStr">
        <is>
          <t>Projeção GCS WGS 1984; reprojetar para EPSG:31985.</t>
        </is>
      </c>
    </row>
    <row r="25" ht="62.1" customHeight="1" s="25">
      <c r="A25" s="6" t="n">
        <v>21</v>
      </c>
      <c r="B25" s="6" t="inlineStr">
        <is>
          <t>Escuta de campo</t>
        </is>
      </c>
      <c r="C25" s="6" t="inlineStr">
        <is>
          <t>Moradores e equipes de campo</t>
        </is>
      </c>
      <c r="D25" s="6" t="inlineStr">
        <is>
          <t>Altura da lâmina, duração, maré, percepção</t>
        </is>
      </c>
      <c r="E25" s="6" t="inlineStr">
        <is>
          <t>Altura da lâmina; Duração; Influência da maré; Grupos sensíveis</t>
        </is>
      </c>
      <c r="F25" s="6" t="n"/>
      <c r="G25" s="6" t="inlineStr">
        <is>
          <t>Roteiro de escuta com moradores e equipe EMLURB/Defesa Civil.</t>
        </is>
      </c>
      <c r="H25" s="6" t="inlineStr">
        <is>
          <t>Não verificado</t>
        </is>
      </c>
      <c r="I25" s="7" t="inlineStr">
        <is>
          <t>A verificar</t>
        </is>
      </c>
      <c r="J25" s="7" t="n"/>
      <c r="K25" s="6" t="inlineStr">
        <is>
          <t>Registrar em faixas (tornozelo, joelho, cintura).</t>
        </is>
      </c>
    </row>
    <row r="26" ht="62.1" customHeight="1" s="25">
      <c r="A26" s="6" t="n">
        <v>22</v>
      </c>
      <c r="B26" s="6" t="inlineStr">
        <is>
          <t>Clipping de notícias</t>
        </is>
      </c>
      <c r="C26" s="6" t="inlineStr">
        <is>
          <t>Mídia</t>
        </is>
      </c>
      <c r="D26" s="6" t="inlineStr">
        <is>
          <t>Matérias sobre alagamento por local</t>
        </is>
      </c>
      <c r="E26" s="6" t="inlineStr">
        <is>
          <t>Repercussão; Pressão institucional</t>
        </is>
      </c>
      <c r="F26" s="6" t="n"/>
      <c r="G26" s="6" t="inlineStr">
        <is>
          <t>Busca sistemática por nome do ponto/bairro.</t>
        </is>
      </c>
      <c r="H26" s="6" t="inlineStr">
        <is>
          <t>Não verificado</t>
        </is>
      </c>
      <c r="I26" s="7" t="inlineStr">
        <is>
          <t>A verificar</t>
        </is>
      </c>
      <c r="J26" s="7" t="n"/>
      <c r="K26" s="6" t="n"/>
    </row>
  </sheetData>
  <dataValidations count="1">
    <dataValidation sqref="I5:I26" showDropDown="0" showInputMessage="0" showErrorMessage="0" allowBlank="1" type="list">
      <formula1>"Tenho,Pedir,Não existe,A verificar"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pane xSplit="6" ySplit="6" topLeftCell="G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25" min="1" max="1"/>
    <col width="60" customWidth="1" style="25" min="2" max="2"/>
    <col width="16" customWidth="1" style="25" min="3" max="3"/>
    <col width="18" customWidth="1" style="25" min="4" max="4"/>
    <col width="11" customWidth="1" style="25" min="5" max="6"/>
    <col width="14" customWidth="1" style="25" min="7" max="30"/>
    <col width="16" customWidth="1" style="25" min="31" max="31"/>
    <col width="10" customWidth="1" style="25" min="32" max="32"/>
    <col width="22" customWidth="1" style="25" min="33" max="35"/>
  </cols>
  <sheetData>
    <row r="1" ht="18" customHeight="1" s="25">
      <c r="A1" s="1" t="inlineStr">
        <is>
          <t>Pontos críticos da RPA 6 — notas por subcritério e score de criticidade</t>
        </is>
      </c>
    </row>
    <row r="2" ht="42" customHeight="1" s="25">
      <c r="A2" s="24" t="inlineStr">
        <is>
          <t>Pontos da planilha da EMLURB para a RPA 6 (21 trechos). Coordenadas geocodificadas automaticamente (OSM): 'Aproximado' = precisa conferir no mapa. Bacia e sub-bacia a preencher. Notas de 1 a 5 conforme aba Critérios; pesos vêm da aba Critérios. Notas em branco são ignoradas.</t>
        </is>
      </c>
    </row>
    <row r="4" ht="38.25" customHeight="1" s="25">
      <c r="G4" s="10" t="inlineStr">
        <is>
          <t>Hidrológico</t>
        </is>
      </c>
      <c r="H4" s="10" t="inlineStr">
        <is>
          <t>Hidrológico</t>
        </is>
      </c>
      <c r="I4" s="10" t="inlineStr">
        <is>
          <t>Hidrológico</t>
        </is>
      </c>
      <c r="J4" s="10" t="inlineStr">
        <is>
          <t>Hidrológico</t>
        </is>
      </c>
      <c r="K4" s="10" t="inlineStr">
        <is>
          <t>Hidrológico</t>
        </is>
      </c>
      <c r="L4" s="10" t="inlineStr">
        <is>
          <t>Hidrológico</t>
        </is>
      </c>
      <c r="M4" s="11" t="inlineStr">
        <is>
          <t>Social</t>
        </is>
      </c>
      <c r="N4" s="11" t="inlineStr">
        <is>
          <t>Social</t>
        </is>
      </c>
      <c r="O4" s="11" t="inlineStr">
        <is>
          <t>Social</t>
        </is>
      </c>
      <c r="P4" s="12" t="inlineStr">
        <is>
          <t>Econômico</t>
        </is>
      </c>
      <c r="Q4" s="12" t="inlineStr">
        <is>
          <t>Econômico</t>
        </is>
      </c>
      <c r="R4" s="12" t="inlineStr">
        <is>
          <t>Econômico</t>
        </is>
      </c>
      <c r="S4" s="13" t="inlineStr">
        <is>
          <t>Infraestrutura urbana e mobilidade</t>
        </is>
      </c>
      <c r="T4" s="13" t="inlineStr">
        <is>
          <t>Infraestrutura urbana e mobilidade</t>
        </is>
      </c>
      <c r="U4" s="13" t="inlineStr">
        <is>
          <t>Infraestrutura urbana e mobilidade</t>
        </is>
      </c>
      <c r="V4" s="13" t="inlineStr">
        <is>
          <t>Infraestrutura urbana e mobilidade</t>
        </is>
      </c>
      <c r="W4" s="14" t="inlineStr">
        <is>
          <t>Ambiental e sanitário</t>
        </is>
      </c>
      <c r="X4" s="14" t="inlineStr">
        <is>
          <t>Ambiental e sanitário</t>
        </is>
      </c>
      <c r="Y4" s="14" t="inlineStr">
        <is>
          <t>Ambiental e sanitário</t>
        </is>
      </c>
      <c r="Z4" s="15" t="inlineStr">
        <is>
          <t>Técnico (sistema de drenagem)</t>
        </is>
      </c>
      <c r="AA4" s="15" t="inlineStr">
        <is>
          <t>Técnico (sistema de drenagem)</t>
        </is>
      </c>
      <c r="AB4" s="15" t="inlineStr">
        <is>
          <t>Técnico (sistema de drenagem)</t>
        </is>
      </c>
      <c r="AC4" s="16" t="inlineStr">
        <is>
          <t>Político e institucional</t>
        </is>
      </c>
      <c r="AD4" s="16" t="inlineStr">
        <is>
          <t>Político e institucional</t>
        </is>
      </c>
    </row>
    <row r="5">
      <c r="F5" s="17" t="inlineStr">
        <is>
          <t>Peso →</t>
        </is>
      </c>
      <c r="G5" s="18">
        <f>Critérios!R5</f>
        <v/>
      </c>
      <c r="H5" s="18">
        <f>Critérios!R6</f>
        <v/>
      </c>
      <c r="I5" s="18">
        <f>Critérios!R7</f>
        <v/>
      </c>
      <c r="J5" s="18">
        <f>Critérios!R8</f>
        <v/>
      </c>
      <c r="K5" s="18">
        <f>Critérios!R9</f>
        <v/>
      </c>
      <c r="L5" s="18">
        <f>Critérios!R10</f>
        <v/>
      </c>
      <c r="M5" s="18">
        <f>Critérios!R11</f>
        <v/>
      </c>
      <c r="N5" s="18">
        <f>Critérios!R12</f>
        <v/>
      </c>
      <c r="O5" s="18">
        <f>Critérios!R13</f>
        <v/>
      </c>
      <c r="P5" s="18">
        <f>Critérios!R14</f>
        <v/>
      </c>
      <c r="Q5" s="18">
        <f>Critérios!R15</f>
        <v/>
      </c>
      <c r="R5" s="18">
        <f>Critérios!R16</f>
        <v/>
      </c>
      <c r="S5" s="18">
        <f>Critérios!R17</f>
        <v/>
      </c>
      <c r="T5" s="18">
        <f>Critérios!R18</f>
        <v/>
      </c>
      <c r="U5" s="18">
        <f>Critérios!R19</f>
        <v/>
      </c>
      <c r="V5" s="18">
        <f>Critérios!R20</f>
        <v/>
      </c>
      <c r="W5" s="18">
        <f>Critérios!R21</f>
        <v/>
      </c>
      <c r="X5" s="18">
        <f>Critérios!R22</f>
        <v/>
      </c>
      <c r="Y5" s="18">
        <f>Critérios!R23</f>
        <v/>
      </c>
      <c r="Z5" s="18">
        <f>Critérios!R24</f>
        <v/>
      </c>
      <c r="AA5" s="18">
        <f>Critérios!R25</f>
        <v/>
      </c>
      <c r="AB5" s="18">
        <f>Critérios!R26</f>
        <v/>
      </c>
      <c r="AC5" s="18">
        <f>Critérios!R27</f>
        <v/>
      </c>
      <c r="AD5" s="18">
        <f>Critérios!R28</f>
        <v/>
      </c>
    </row>
    <row r="6" ht="62.1" customHeight="1" s="25">
      <c r="A6" s="5" t="inlineStr">
        <is>
          <t>ID</t>
        </is>
      </c>
      <c r="B6" s="5" t="inlineStr">
        <is>
          <t>Ponto crítico / local</t>
        </is>
      </c>
      <c r="C6" s="5" t="inlineStr">
        <is>
          <t>Bacia</t>
        </is>
      </c>
      <c r="D6" s="5" t="inlineStr">
        <is>
          <t>Sub-bacia</t>
        </is>
      </c>
      <c r="E6" s="5" t="inlineStr">
        <is>
          <t>Latitude</t>
        </is>
      </c>
      <c r="F6" s="5" t="inlineStr">
        <is>
          <t>Longitude</t>
        </is>
      </c>
      <c r="G6" s="5" t="inlineStr">
        <is>
          <t>Frequência de eventos [Ponto]</t>
        </is>
      </c>
      <c r="H6" s="5" t="inlineStr">
        <is>
          <t>Gatilho de chuva [Ponto]</t>
        </is>
      </c>
      <c r="I6" s="5" t="inlineStr">
        <is>
          <t>Influência da maré [Ponto]</t>
        </is>
      </c>
      <c r="J6" s="5" t="inlineStr">
        <is>
          <t>Altura da lâmina d'água [Ponto]</t>
        </is>
      </c>
      <c r="K6" s="5" t="inlineStr">
        <is>
          <t>Extensão da mancha [Ponto]</t>
        </is>
      </c>
      <c r="L6" s="5" t="inlineStr">
        <is>
          <t>Duração do alagamento [Ponto]</t>
        </is>
      </c>
      <c r="M6" s="5" t="inlineStr">
        <is>
          <t>População exposta [SIG]</t>
        </is>
      </c>
      <c r="N6" s="5" t="inlineStr">
        <is>
          <t>Vulnerabilidade social [SIG]</t>
        </is>
      </c>
      <c r="O6" s="5" t="inlineStr">
        <is>
          <t>Grupos sensíveis [SIG]</t>
        </is>
      </c>
      <c r="P6" s="5" t="inlineStr">
        <is>
          <t>Comércios no entorno [SIG]</t>
        </is>
      </c>
      <c r="Q6" s="5" t="inlineStr">
        <is>
          <t>Importância das edificações [SIG]</t>
        </is>
      </c>
      <c r="R6" s="5" t="inlineStr">
        <is>
          <t>Custo recorrente de conviver com o ponto [Ponto]</t>
        </is>
      </c>
      <c r="S6" s="5" t="inlineStr">
        <is>
          <t>Vias e mobilidade afetadas [SIG]</t>
        </is>
      </c>
      <c r="T6" s="5" t="inlineStr">
        <is>
          <t>Infraestrutura crítica [SIG]</t>
        </is>
      </c>
      <c r="U6" s="5" t="inlineStr">
        <is>
          <t>Equipamentos de emergência expostos [SIG]</t>
        </is>
      </c>
      <c r="V6" s="5" t="inlineStr">
        <is>
          <t>Acessibilidade de resposta [SIG]</t>
        </is>
      </c>
      <c r="W6" s="5" t="inlineStr">
        <is>
          <t>Área ambientalmente sensível [SIG]</t>
        </is>
      </c>
      <c r="X6" s="5" t="inlineStr">
        <is>
          <t>Infraestrutura verde (inverso) [SIG]</t>
        </is>
      </c>
      <c r="Y6" s="5" t="inlineStr">
        <is>
          <t>Risco sanitário [Ponto]</t>
        </is>
      </c>
      <c r="Z6" s="5" t="inlineStr">
        <is>
          <t>Fragilidade do sistema de drenagem [Ponto]</t>
        </is>
      </c>
      <c r="AA6" s="5" t="inlineStr">
        <is>
          <t>Dependência de equipamento [Ponto]</t>
        </is>
      </c>
      <c r="AB6" s="5" t="inlineStr">
        <is>
          <t>Posição na bacia [Ponto]</t>
        </is>
      </c>
      <c r="AC6" s="5" t="inlineStr">
        <is>
          <t>Repercussão pública [Ponto]</t>
        </is>
      </c>
      <c r="AD6" s="5" t="inlineStr">
        <is>
          <t>Pressão institucional [Ponto]</t>
        </is>
      </c>
      <c r="AE6" s="5" t="inlineStr">
        <is>
          <t>Score de criticidade (1–5)</t>
        </is>
      </c>
      <c r="AF6" s="5" t="inlineStr">
        <is>
          <t>Posição</t>
        </is>
      </c>
      <c r="AG6" s="5" t="inlineStr">
        <is>
          <t>Tipo (ponto/linha) [EMLURB]</t>
        </is>
      </c>
      <c r="AH6" s="5" t="inlineStr">
        <is>
          <t>Precisão da coordenada</t>
        </is>
      </c>
      <c r="AI6" s="5" t="inlineStr">
        <is>
          <t>Prioridade EMLURB</t>
        </is>
      </c>
    </row>
    <row r="7">
      <c r="A7" s="19" t="n">
        <v>5</v>
      </c>
      <c r="B7" s="19" t="inlineStr">
        <is>
          <t>Boa Viagem — Avenida Conselheiro Aguiar (Interseção com a Rua Tenente João Cícero)</t>
        </is>
      </c>
      <c r="C7" s="19" t="n"/>
      <c r="D7" s="19" t="n"/>
      <c r="E7" s="19" t="n">
        <v>-8.113732000000001</v>
      </c>
      <c r="F7" s="19" t="n">
        <v>-34.893163</v>
      </c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1">
        <f>IF(SUM($G$5:$AD$5)=0,"",IFERROR(SUMPRODUCT(G7:AD7,$G$5:$AD$5)/SUMPRODUCT((G7:AD7&lt;&gt;"")*$G$5:$AD$5),""))</f>
        <v/>
      </c>
      <c r="AF7" s="22">
        <f>IF(AE7="","",RANK(AE7,$AE$7:$AE$36))</f>
        <v/>
      </c>
      <c r="AG7" s="22" t="inlineStr">
        <is>
          <t>Ponto</t>
        </is>
      </c>
      <c r="AH7" s="22" t="inlineStr">
        <is>
          <t>Interseção</t>
        </is>
      </c>
      <c r="AI7" s="22" t="inlineStr">
        <is>
          <t>Não</t>
        </is>
      </c>
    </row>
    <row r="8">
      <c r="A8" s="23" t="n">
        <v>6</v>
      </c>
      <c r="B8" s="23" t="inlineStr">
        <is>
          <t>Boa Viagem — Avenida Conselheiro Aguiar (Interseção com a Rua Dona Benvinda)</t>
        </is>
      </c>
      <c r="C8" s="23" t="n"/>
      <c r="D8" s="23" t="n"/>
      <c r="E8" s="23" t="n">
        <v>-8.111008999999999</v>
      </c>
      <c r="F8" s="23" t="n">
        <v>-34.891491</v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1">
        <f>IF(SUM($G$5:$AD$5)=0,"",IFERROR(SUMPRODUCT(G8:AD8,$G$5:$AD$5)/SUMPRODUCT((G8:AD8&lt;&gt;"")*$G$5:$AD$5),""))</f>
        <v/>
      </c>
      <c r="AF8" s="22">
        <f>IF(AE8="","",RANK(AE8,$AE$7:$AE$36))</f>
        <v/>
      </c>
      <c r="AG8" s="22" t="inlineStr">
        <is>
          <t>Ponto</t>
        </is>
      </c>
      <c r="AH8" s="22" t="inlineStr">
        <is>
          <t>Interseção</t>
        </is>
      </c>
      <c r="AI8" s="22" t="inlineStr">
        <is>
          <t>Não</t>
        </is>
      </c>
    </row>
    <row r="9">
      <c r="A9" s="23" t="n">
        <v>7</v>
      </c>
      <c r="B9" s="23" t="inlineStr">
        <is>
          <t>Boa Viagem — Avenida Conselheiro Aguiar (Interseção com a Rua Maria Carolina)</t>
        </is>
      </c>
      <c r="C9" s="23" t="n"/>
      <c r="D9" s="23" t="n"/>
      <c r="E9" s="23" t="n">
        <v>-8.11538</v>
      </c>
      <c r="F9" s="23" t="n">
        <v>-34.894176</v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1">
        <f>IF(SUM($G$5:$AD$5)=0,"",IFERROR(SUMPRODUCT(G9:AD9,$G$5:$AD$5)/SUMPRODUCT((G9:AD9&lt;&gt;"")*$G$5:$AD$5),""))</f>
        <v/>
      </c>
      <c r="AF9" s="22">
        <f>IF(AE9="","",RANK(AE9,$AE$7:$AE$36))</f>
        <v/>
      </c>
      <c r="AG9" s="22" t="inlineStr">
        <is>
          <t>Ponto</t>
        </is>
      </c>
      <c r="AH9" s="22" t="inlineStr">
        <is>
          <t>Interseção</t>
        </is>
      </c>
      <c r="AI9" s="22" t="inlineStr">
        <is>
          <t>Não</t>
        </is>
      </c>
    </row>
    <row r="10">
      <c r="A10" s="23" t="n">
        <v>8</v>
      </c>
      <c r="B10" s="23" t="inlineStr">
        <is>
          <t>Boa Viagem — Avenida Conselheiro Aguiar (Do nº 1501 até a Rua Baltazar Pereira)</t>
        </is>
      </c>
      <c r="C10" s="23" t="n"/>
      <c r="D10" s="23" t="n"/>
      <c r="E10" s="23" t="n">
        <v>-8.101065999999999</v>
      </c>
      <c r="F10" s="23" t="n">
        <v>-34.886765</v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1">
        <f>IF(SUM($G$5:$AD$5)=0,"",IFERROR(SUMPRODUCT(G10:AD10,$G$5:$AD$5)/SUMPRODUCT((G10:AD10&lt;&gt;"")*$G$5:$AD$5),""))</f>
        <v/>
      </c>
      <c r="AF10" s="22">
        <f>IF(AE10="","",RANK(AE10,$AE$7:$AE$36))</f>
        <v/>
      </c>
      <c r="AG10" s="22" t="inlineStr">
        <is>
          <t>Linha</t>
        </is>
      </c>
      <c r="AH10" s="22" t="inlineStr">
        <is>
          <t>Interseção</t>
        </is>
      </c>
      <c r="AI10" s="22" t="inlineStr">
        <is>
          <t>Não</t>
        </is>
      </c>
    </row>
    <row r="11">
      <c r="A11" s="23" t="n">
        <v>9</v>
      </c>
      <c r="B11" s="23" t="inlineStr">
        <is>
          <t>Imbiribeira — Avenida Mascarenhas de Moraes (Da Rua General Mac Arthur até a Universo)</t>
        </is>
      </c>
      <c r="C11" s="23" t="n"/>
      <c r="D11" s="23" t="n"/>
      <c r="E11" s="23" t="n">
        <v>-8.108934</v>
      </c>
      <c r="F11" s="23" t="n">
        <v>-34.911777</v>
      </c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1">
        <f>IF(SUM($G$5:$AD$5)=0,"",IFERROR(SUMPRODUCT(G11:AD11,$G$5:$AD$5)/SUMPRODUCT((G11:AD11&lt;&gt;"")*$G$5:$AD$5),""))</f>
        <v/>
      </c>
      <c r="AF11" s="22">
        <f>IF(AE11="","",RANK(AE11,$AE$7:$AE$36))</f>
        <v/>
      </c>
      <c r="AG11" s="22" t="inlineStr">
        <is>
          <t>Linha</t>
        </is>
      </c>
      <c r="AH11" s="22" t="inlineStr">
        <is>
          <t>Interseção</t>
        </is>
      </c>
      <c r="AI11" s="22" t="inlineStr">
        <is>
          <t>Não</t>
        </is>
      </c>
    </row>
    <row r="12">
      <c r="A12" s="23" t="n">
        <v>11</v>
      </c>
      <c r="B12" s="23" t="inlineStr">
        <is>
          <t>Boa Viagem — Rua Professor José Brandão (Toda a extensão)</t>
        </is>
      </c>
      <c r="C12" s="23" t="n"/>
      <c r="D12" s="23" t="n"/>
      <c r="E12" s="23" t="n">
        <v>-8.111815999999999</v>
      </c>
      <c r="F12" s="23" t="n">
        <v>-34.894789</v>
      </c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1">
        <f>IF(SUM($G$5:$AD$5)=0,"",IFERROR(SUMPRODUCT(G12:AD12,$G$5:$AD$5)/SUMPRODUCT((G12:AD12&lt;&gt;"")*$G$5:$AD$5),""))</f>
        <v/>
      </c>
      <c r="AF12" s="22">
        <f>IF(AE12="","",RANK(AE12,$AE$7:$AE$36))</f>
        <v/>
      </c>
      <c r="AG12" s="22" t="inlineStr">
        <is>
          <t>Linha</t>
        </is>
      </c>
      <c r="AH12" s="22" t="inlineStr">
        <is>
          <t>Aproximado</t>
        </is>
      </c>
      <c r="AI12" s="22" t="inlineStr">
        <is>
          <t>Não</t>
        </is>
      </c>
    </row>
    <row r="13">
      <c r="A13" s="23" t="n">
        <v>12</v>
      </c>
      <c r="B13" s="23" t="inlineStr">
        <is>
          <t>Boa Viagem — Rua Padre Bernardino Pessoa (Da Avenida Conselheiro Aguiar até a Via Mangue)</t>
        </is>
      </c>
      <c r="C13" s="23" t="n"/>
      <c r="D13" s="23" t="n"/>
      <c r="E13" s="23" t="n">
        <v>-8.112935</v>
      </c>
      <c r="F13" s="23" t="n">
        <v>-34.896796</v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1">
        <f>IF(SUM($G$5:$AD$5)=0,"",IFERROR(SUMPRODUCT(G13:AD13,$G$5:$AD$5)/SUMPRODUCT((G13:AD13&lt;&gt;"")*$G$5:$AD$5),""))</f>
        <v/>
      </c>
      <c r="AF13" s="22">
        <f>IF(AE13="","",RANK(AE13,$AE$7:$AE$36))</f>
        <v/>
      </c>
      <c r="AG13" s="22" t="inlineStr">
        <is>
          <t>Linha</t>
        </is>
      </c>
      <c r="AH13" s="22" t="inlineStr">
        <is>
          <t>Aproximado</t>
        </is>
      </c>
      <c r="AI13" s="22" t="inlineStr">
        <is>
          <t>Não</t>
        </is>
      </c>
    </row>
    <row r="14">
      <c r="A14" s="23" t="n">
        <v>18</v>
      </c>
      <c r="B14" s="23" t="inlineStr">
        <is>
          <t>Boa Viagem — Rua Jornalista Alfredo Porto Silveira (Toda a extensão)</t>
        </is>
      </c>
      <c r="C14" s="23" t="n"/>
      <c r="D14" s="23" t="n"/>
      <c r="E14" s="23" t="n">
        <v>-8.138795999999999</v>
      </c>
      <c r="F14" s="23" t="n">
        <v>-34.913979</v>
      </c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1">
        <f>IF(SUM($G$5:$AD$5)=0,"",IFERROR(SUMPRODUCT(G14:AD14,$G$5:$AD$5)/SUMPRODUCT((G14:AD14&lt;&gt;"")*$G$5:$AD$5),""))</f>
        <v/>
      </c>
      <c r="AF14" s="22">
        <f>IF(AE14="","",RANK(AE14,$AE$7:$AE$36))</f>
        <v/>
      </c>
      <c r="AG14" s="22" t="inlineStr">
        <is>
          <t>Linha</t>
        </is>
      </c>
      <c r="AH14" s="22" t="inlineStr">
        <is>
          <t>Aproximado</t>
        </is>
      </c>
      <c r="AI14" s="22" t="inlineStr">
        <is>
          <t>Não</t>
        </is>
      </c>
    </row>
    <row r="15">
      <c r="A15" s="23" t="n">
        <v>19</v>
      </c>
      <c r="B15" s="23" t="inlineStr">
        <is>
          <t>Pina — Rua São Luiz (Final da rua)</t>
        </is>
      </c>
      <c r="C15" s="23" t="n"/>
      <c r="D15" s="23" t="n"/>
      <c r="E15" s="23" t="n">
        <v>-8.089715999999999</v>
      </c>
      <c r="F15" s="23" t="n">
        <v>-34.888275</v>
      </c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1">
        <f>IF(SUM($G$5:$AD$5)=0,"",IFERROR(SUMPRODUCT(G15:AD15,$G$5:$AD$5)/SUMPRODUCT((G15:AD15&lt;&gt;"")*$G$5:$AD$5),""))</f>
        <v/>
      </c>
      <c r="AF15" s="22">
        <f>IF(AE15="","",RANK(AE15,$AE$7:$AE$36))</f>
        <v/>
      </c>
      <c r="AG15" s="22" t="inlineStr">
        <is>
          <t>Ponto</t>
        </is>
      </c>
      <c r="AH15" s="22" t="inlineStr">
        <is>
          <t>Aproximado</t>
        </is>
      </c>
      <c r="AI15" s="22" t="inlineStr">
        <is>
          <t>Não</t>
        </is>
      </c>
    </row>
    <row r="16">
      <c r="A16" s="23" t="n">
        <v>22</v>
      </c>
      <c r="B16" s="23" t="inlineStr">
        <is>
          <t>Jordão — Avenida Maria Irene (Vários trechos)</t>
        </is>
      </c>
      <c r="C16" s="23" t="n"/>
      <c r="D16" s="23" t="n"/>
      <c r="E16" s="23" t="n">
        <v>-8.140504999999999</v>
      </c>
      <c r="F16" s="23" t="n">
        <v>-34.927358</v>
      </c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1">
        <f>IF(SUM($G$5:$AD$5)=0,"",IFERROR(SUMPRODUCT(G16:AD16,$G$5:$AD$5)/SUMPRODUCT((G16:AD16&lt;&gt;"")*$G$5:$AD$5),""))</f>
        <v/>
      </c>
      <c r="AF16" s="22">
        <f>IF(AE16="","",RANK(AE16,$AE$7:$AE$36))</f>
        <v/>
      </c>
      <c r="AG16" s="22" t="inlineStr">
        <is>
          <t>Vários</t>
        </is>
      </c>
      <c r="AH16" s="22" t="inlineStr">
        <is>
          <t>Aproximado</t>
        </is>
      </c>
      <c r="AI16" s="22" t="inlineStr">
        <is>
          <t>Não</t>
        </is>
      </c>
    </row>
    <row r="17">
      <c r="A17" s="23" t="n">
        <v>24</v>
      </c>
      <c r="B17" s="23" t="inlineStr">
        <is>
          <t>Ipsep — Rua Blumenau (Até a maré)</t>
        </is>
      </c>
      <c r="C17" s="23" t="n"/>
      <c r="D17" s="23" t="n"/>
      <c r="E17" s="23" t="n">
        <v>-8.107611</v>
      </c>
      <c r="F17" s="23" t="n">
        <v>-34.920256</v>
      </c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1">
        <f>IF(SUM($G$5:$AD$5)=0,"",IFERROR(SUMPRODUCT(G17:AD17,$G$5:$AD$5)/SUMPRODUCT((G17:AD17&lt;&gt;"")*$G$5:$AD$5),""))</f>
        <v/>
      </c>
      <c r="AF17" s="22">
        <f>IF(AE17="","",RANK(AE17,$AE$7:$AE$36))</f>
        <v/>
      </c>
      <c r="AG17" s="22" t="inlineStr">
        <is>
          <t>Linha</t>
        </is>
      </c>
      <c r="AH17" s="22" t="inlineStr">
        <is>
          <t>Aproximado</t>
        </is>
      </c>
      <c r="AI17" s="22" t="inlineStr">
        <is>
          <t>Sim</t>
        </is>
      </c>
    </row>
    <row r="18">
      <c r="A18" s="23" t="n">
        <v>25</v>
      </c>
      <c r="B18" s="23" t="inlineStr">
        <is>
          <t>Ipsep — Rua Raimundo Diniz (Vários trechos)</t>
        </is>
      </c>
      <c r="C18" s="23" t="n"/>
      <c r="D18" s="23" t="n"/>
      <c r="E18" s="23" t="n">
        <v>-8.114288</v>
      </c>
      <c r="F18" s="23" t="n">
        <v>-34.921465</v>
      </c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1">
        <f>IF(SUM($G$5:$AD$5)=0,"",IFERROR(SUMPRODUCT(G18:AD18,$G$5:$AD$5)/SUMPRODUCT((G18:AD18&lt;&gt;"")*$G$5:$AD$5),""))</f>
        <v/>
      </c>
      <c r="AF18" s="22">
        <f>IF(AE18="","",RANK(AE18,$AE$7:$AE$36))</f>
        <v/>
      </c>
      <c r="AG18" s="22" t="inlineStr">
        <is>
          <t>Vários</t>
        </is>
      </c>
      <c r="AH18" s="22" t="inlineStr">
        <is>
          <t>Aproximado</t>
        </is>
      </c>
      <c r="AI18" s="22" t="inlineStr">
        <is>
          <t>Não</t>
        </is>
      </c>
    </row>
    <row r="19">
      <c r="A19" s="23" t="n">
        <v>26</v>
      </c>
      <c r="B19" s="23" t="inlineStr">
        <is>
          <t>Boa Viagem — Avenida Boa Viagem (Antes da Rua Baltazar Passos)</t>
        </is>
      </c>
      <c r="C19" s="23" t="n"/>
      <c r="D19" s="23" t="n"/>
      <c r="E19" s="23" t="n">
        <v>-8.145054999999999</v>
      </c>
      <c r="F19" s="23" t="n">
        <v>-34.905114</v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1">
        <f>IF(SUM($G$5:$AD$5)=0,"",IFERROR(SUMPRODUCT(G19:AD19,$G$5:$AD$5)/SUMPRODUCT((G19:AD19&lt;&gt;"")*$G$5:$AD$5),""))</f>
        <v/>
      </c>
      <c r="AF19" s="22">
        <f>IF(AE19="","",RANK(AE19,$AE$7:$AE$36))</f>
        <v/>
      </c>
      <c r="AG19" s="22" t="inlineStr">
        <is>
          <t>Ponto</t>
        </is>
      </c>
      <c r="AH19" s="22" t="inlineStr">
        <is>
          <t>Interseção</t>
        </is>
      </c>
      <c r="AI19" s="22" t="inlineStr">
        <is>
          <t>Não</t>
        </is>
      </c>
    </row>
    <row r="20">
      <c r="A20" s="23" t="n">
        <v>33</v>
      </c>
      <c r="B20" s="23" t="inlineStr">
        <is>
          <t>Ibura — Avenida Dois Rios (Interseção da Avenida Dois Rios com a Rua Rio Pajeú até a Rua Ecoporanga / interseção da Avenida Dois Rios com a Rua Rio Prado)</t>
        </is>
      </c>
      <c r="C20" s="23" t="n"/>
      <c r="D20" s="23" t="n"/>
      <c r="E20" s="23" t="n">
        <v>-8.113526</v>
      </c>
      <c r="F20" s="23" t="n">
        <v>-34.939007</v>
      </c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1">
        <f>IF(SUM($G$5:$AD$5)=0,"",IFERROR(SUMPRODUCT(G20:AD20,$G$5:$AD$5)/SUMPRODUCT((G20:AD20&lt;&gt;"")*$G$5:$AD$5),""))</f>
        <v/>
      </c>
      <c r="AF20" s="22">
        <f>IF(AE20="","",RANK(AE20,$AE$7:$AE$36))</f>
        <v/>
      </c>
      <c r="AG20" s="22" t="inlineStr">
        <is>
          <t>Linha</t>
        </is>
      </c>
      <c r="AH20" s="22" t="inlineStr">
        <is>
          <t>Interseção</t>
        </is>
      </c>
      <c r="AI20" s="22" t="inlineStr">
        <is>
          <t>Sim</t>
        </is>
      </c>
    </row>
    <row r="21">
      <c r="A21" s="23" t="n">
        <v>34</v>
      </c>
      <c r="B21" s="23" t="inlineStr">
        <is>
          <t>Ibura — Avenida Dom Helder Câmara (Interseção da Avenida Dom Helder Câmara com a Rua Achiles Amorim)</t>
        </is>
      </c>
      <c r="C21" s="23" t="n"/>
      <c r="D21" s="23" t="n"/>
      <c r="E21" s="23" t="n">
        <v>-8.107493</v>
      </c>
      <c r="F21" s="23" t="n">
        <v>-34.929853</v>
      </c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1">
        <f>IF(SUM($G$5:$AD$5)=0,"",IFERROR(SUMPRODUCT(G21:AD21,$G$5:$AD$5)/SUMPRODUCT((G21:AD21&lt;&gt;"")*$G$5:$AD$5),""))</f>
        <v/>
      </c>
      <c r="AF21" s="22">
        <f>IF(AE21="","",RANK(AE21,$AE$7:$AE$36))</f>
        <v/>
      </c>
      <c r="AG21" s="22" t="inlineStr">
        <is>
          <t>Ponto</t>
        </is>
      </c>
      <c r="AH21" s="22" t="inlineStr">
        <is>
          <t>Interseção</t>
        </is>
      </c>
      <c r="AI21" s="22" t="inlineStr">
        <is>
          <t>Sim</t>
        </is>
      </c>
    </row>
    <row r="22">
      <c r="A22" s="23" t="n">
        <v>35</v>
      </c>
      <c r="B22" s="23" t="inlineStr">
        <is>
          <t>Ibura — Avenida Dois Rios (Próximo ao SESI)</t>
        </is>
      </c>
      <c r="C22" s="23" t="n"/>
      <c r="D22" s="23" t="n"/>
      <c r="E22" s="23" t="n">
        <v>-8.110391</v>
      </c>
      <c r="F22" s="23" t="n">
        <v>-34.93687</v>
      </c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1">
        <f>IF(SUM($G$5:$AD$5)=0,"",IFERROR(SUMPRODUCT(G22:AD22,$G$5:$AD$5)/SUMPRODUCT((G22:AD22&lt;&gt;"")*$G$5:$AD$5),""))</f>
        <v/>
      </c>
      <c r="AF22" s="22">
        <f>IF(AE22="","",RANK(AE22,$AE$7:$AE$36))</f>
        <v/>
      </c>
      <c r="AG22" s="22" t="inlineStr">
        <is>
          <t>Ponto</t>
        </is>
      </c>
      <c r="AH22" s="22" t="inlineStr">
        <is>
          <t>Aproximado</t>
        </is>
      </c>
      <c r="AI22" s="22" t="inlineStr">
        <is>
          <t>Sim</t>
        </is>
      </c>
    </row>
    <row r="23">
      <c r="A23" s="23" t="n">
        <v>36</v>
      </c>
      <c r="B23" s="23" t="inlineStr">
        <is>
          <t>Imbiribeira — Avenida Mascarenhas de Moraes (Trecho da Ferreira Costa)</t>
        </is>
      </c>
      <c r="C23" s="23" t="n"/>
      <c r="D23" s="23" t="n"/>
      <c r="E23" s="23" t="n">
        <v>-8.111915</v>
      </c>
      <c r="F23" s="23" t="n">
        <v>-34.912386</v>
      </c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1">
        <f>IF(SUM($G$5:$AD$5)=0,"",IFERROR(SUMPRODUCT(G23:AD23,$G$5:$AD$5)/SUMPRODUCT((G23:AD23&lt;&gt;"")*$G$5:$AD$5),""))</f>
        <v/>
      </c>
      <c r="AF23" s="22">
        <f>IF(AE23="","",RANK(AE23,$AE$7:$AE$36))</f>
        <v/>
      </c>
      <c r="AG23" s="22" t="inlineStr">
        <is>
          <t>Ponto</t>
        </is>
      </c>
      <c r="AH23" s="22" t="inlineStr">
        <is>
          <t>Aproximado</t>
        </is>
      </c>
      <c r="AI23" s="22" t="inlineStr">
        <is>
          <t>Sim</t>
        </is>
      </c>
    </row>
    <row r="24">
      <c r="A24" s="23" t="n">
        <v>37</v>
      </c>
      <c r="B24" s="23" t="inlineStr">
        <is>
          <t>Ipsep — Avenida Recife (Da Avenida Dom Helder Câmara até o Rio Tejipió)</t>
        </is>
      </c>
      <c r="C24" s="23" t="n"/>
      <c r="D24" s="23" t="n"/>
      <c r="E24" s="23" t="n">
        <v>-8.105179</v>
      </c>
      <c r="F24" s="23" t="n">
        <v>-34.927549</v>
      </c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1">
        <f>IF(SUM($G$5:$AD$5)=0,"",IFERROR(SUMPRODUCT(G24:AD24,$G$5:$AD$5)/SUMPRODUCT((G24:AD24&lt;&gt;"")*$G$5:$AD$5),""))</f>
        <v/>
      </c>
      <c r="AF24" s="22">
        <f>IF(AE24="","",RANK(AE24,$AE$7:$AE$36))</f>
        <v/>
      </c>
      <c r="AG24" s="22" t="inlineStr">
        <is>
          <t>Linha</t>
        </is>
      </c>
      <c r="AH24" s="22" t="inlineStr">
        <is>
          <t>Aproximado</t>
        </is>
      </c>
      <c r="AI24" s="22" t="inlineStr">
        <is>
          <t>Sim</t>
        </is>
      </c>
    </row>
    <row r="25">
      <c r="A25" s="23" t="n">
        <v>41</v>
      </c>
      <c r="B25" s="23" t="inlineStr">
        <is>
          <t>Boa Viagem — Rua Thomé Gibson (Da Avenida Encanta Moça até a Via Mangue)</t>
        </is>
      </c>
      <c r="C25" s="23" t="n"/>
      <c r="D25" s="23" t="n"/>
      <c r="E25" s="23" t="n">
        <v>-8.098065999999999</v>
      </c>
      <c r="F25" s="23" t="n">
        <v>-34.888129</v>
      </c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1">
        <f>IF(SUM($G$5:$AD$5)=0,"",IFERROR(SUMPRODUCT(G25:AD25,$G$5:$AD$5)/SUMPRODUCT((G25:AD25&lt;&gt;"")*$G$5:$AD$5),""))</f>
        <v/>
      </c>
      <c r="AF25" s="22">
        <f>IF(AE25="","",RANK(AE25,$AE$7:$AE$36))</f>
        <v/>
      </c>
      <c r="AG25" s="22" t="inlineStr">
        <is>
          <t>Linha</t>
        </is>
      </c>
      <c r="AH25" s="22" t="inlineStr">
        <is>
          <t>Aproximado</t>
        </is>
      </c>
      <c r="AI25" s="22" t="inlineStr">
        <is>
          <t>Não</t>
        </is>
      </c>
    </row>
    <row r="26">
      <c r="A26" s="23" t="n">
        <v>51</v>
      </c>
      <c r="B26" s="23" t="inlineStr">
        <is>
          <t>Pina — Avenida Antônio de Góes (Da saída da Via Mangue até a Bacia do Pina (Rio Capibaribe) e cruzamento com a Avenida Conselheiro Aguiar)</t>
        </is>
      </c>
      <c r="C26" s="23" t="n"/>
      <c r="D26" s="23" t="n"/>
      <c r="E26" s="23" t="n">
        <v>-8.089423</v>
      </c>
      <c r="F26" s="23" t="n">
        <v>-34.882717</v>
      </c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1">
        <f>IF(SUM($G$5:$AD$5)=0,"",IFERROR(SUMPRODUCT(G26:AD26,$G$5:$AD$5)/SUMPRODUCT((G26:AD26&lt;&gt;"")*$G$5:$AD$5),""))</f>
        <v/>
      </c>
      <c r="AF26" s="22">
        <f>IF(AE26="","",RANK(AE26,$AE$7:$AE$36))</f>
        <v/>
      </c>
      <c r="AG26" s="22" t="inlineStr">
        <is>
          <t>Linha</t>
        </is>
      </c>
      <c r="AH26" s="22" t="inlineStr">
        <is>
          <t>Interseção</t>
        </is>
      </c>
      <c r="AI26" s="22" t="inlineStr">
        <is>
          <t>Não</t>
        </is>
      </c>
    </row>
    <row r="27">
      <c r="A27" s="23" t="n">
        <v>54</v>
      </c>
      <c r="B27" s="23" t="inlineStr">
        <is>
          <t>Ibura — Rua Rio Prado (Interseção da Rua Rio Prado com a Rua Rio Brígida)</t>
        </is>
      </c>
      <c r="C27" s="23" t="n"/>
      <c r="D27" s="23" t="n"/>
      <c r="E27" s="23" t="n">
        <v>-8.113868999999999</v>
      </c>
      <c r="F27" s="23" t="n">
        <v>-34.940702</v>
      </c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1">
        <f>IF(SUM($G$5:$AD$5)=0,"",IFERROR(SUMPRODUCT(G27:AD27,$G$5:$AD$5)/SUMPRODUCT((G27:AD27&lt;&gt;"")*$G$5:$AD$5),""))</f>
        <v/>
      </c>
      <c r="AF27" s="22">
        <f>IF(AE27="","",RANK(AE27,$AE$7:$AE$36))</f>
        <v/>
      </c>
      <c r="AG27" s="22" t="inlineStr">
        <is>
          <t>Ponto</t>
        </is>
      </c>
      <c r="AH27" s="22" t="inlineStr">
        <is>
          <t>Interseção</t>
        </is>
      </c>
      <c r="AI27" s="22" t="inlineStr">
        <is>
          <t>Não</t>
        </is>
      </c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1">
        <f>IF(SUM($G$5:$AD$5)=0,"",IFERROR(SUMPRODUCT(G28:AD28,$G$5:$AD$5)/SUMPRODUCT((G28:AD28&lt;&gt;"")*$G$5:$AD$5),""))</f>
        <v/>
      </c>
      <c r="AF28" s="22">
        <f>IF(AE28="","",RANK(AE28,$AE$7:$AE$36))</f>
        <v/>
      </c>
      <c r="AG28" s="22" t="n"/>
      <c r="AH28" s="22" t="n"/>
      <c r="AI28" s="22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1">
        <f>IF(SUM($G$5:$AD$5)=0,"",IFERROR(SUMPRODUCT(G29:AD29,$G$5:$AD$5)/SUMPRODUCT((G29:AD29&lt;&gt;"")*$G$5:$AD$5),""))</f>
        <v/>
      </c>
      <c r="AF29" s="22">
        <f>IF(AE29="","",RANK(AE29,$AE$7:$AE$36))</f>
        <v/>
      </c>
      <c r="AG29" s="22" t="n"/>
      <c r="AH29" s="22" t="n"/>
      <c r="AI29" s="22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1">
        <f>IF(SUM($G$5:$AD$5)=0,"",IFERROR(SUMPRODUCT(G30:AD30,$G$5:$AD$5)/SUMPRODUCT((G30:AD30&lt;&gt;"")*$G$5:$AD$5),""))</f>
        <v/>
      </c>
      <c r="AF30" s="22">
        <f>IF(AE30="","",RANK(AE30,$AE$7:$AE$36))</f>
        <v/>
      </c>
      <c r="AG30" s="22" t="n"/>
      <c r="AH30" s="22" t="n"/>
      <c r="AI30" s="22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1">
        <f>IF(SUM($G$5:$AD$5)=0,"",IFERROR(SUMPRODUCT(G31:AD31,$G$5:$AD$5)/SUMPRODUCT((G31:AD31&lt;&gt;"")*$G$5:$AD$5),""))</f>
        <v/>
      </c>
      <c r="AF31" s="22">
        <f>IF(AE31="","",RANK(AE31,$AE$7:$AE$36))</f>
        <v/>
      </c>
      <c r="AG31" s="22" t="n"/>
      <c r="AH31" s="22" t="n"/>
      <c r="AI31" s="22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1">
        <f>IF(SUM($G$5:$AD$5)=0,"",IFERROR(SUMPRODUCT(G32:AD32,$G$5:$AD$5)/SUMPRODUCT((G32:AD32&lt;&gt;"")*$G$5:$AD$5),""))</f>
        <v/>
      </c>
      <c r="AF32" s="22">
        <f>IF(AE32="","",RANK(AE32,$AE$7:$AE$36))</f>
        <v/>
      </c>
      <c r="AG32" s="22" t="n"/>
      <c r="AH32" s="22" t="n"/>
      <c r="AI32" s="22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1">
        <f>IF(SUM($G$5:$AD$5)=0,"",IFERROR(SUMPRODUCT(G33:AD33,$G$5:$AD$5)/SUMPRODUCT((G33:AD33&lt;&gt;"")*$G$5:$AD$5),""))</f>
        <v/>
      </c>
      <c r="AF33" s="22">
        <f>IF(AE33="","",RANK(AE33,$AE$7:$AE$36))</f>
        <v/>
      </c>
      <c r="AG33" s="22" t="n"/>
      <c r="AH33" s="22" t="n"/>
      <c r="AI33" s="22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1">
        <f>IF(SUM($G$5:$AD$5)=0,"",IFERROR(SUMPRODUCT(G34:AD34,$G$5:$AD$5)/SUMPRODUCT((G34:AD34&lt;&gt;"")*$G$5:$AD$5),""))</f>
        <v/>
      </c>
      <c r="AF34" s="22">
        <f>IF(AE34="","",RANK(AE34,$AE$7:$AE$36))</f>
        <v/>
      </c>
      <c r="AG34" s="22" t="n"/>
      <c r="AH34" s="22" t="n"/>
      <c r="AI34" s="22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1">
        <f>IF(SUM($G$5:$AD$5)=0,"",IFERROR(SUMPRODUCT(G35:AD35,$G$5:$AD$5)/SUMPRODUCT((G35:AD35&lt;&gt;"")*$G$5:$AD$5),""))</f>
        <v/>
      </c>
      <c r="AF35" s="22">
        <f>IF(AE35="","",RANK(AE35,$AE$7:$AE$36))</f>
        <v/>
      </c>
      <c r="AG35" s="22" t="n"/>
      <c r="AH35" s="22" t="n"/>
      <c r="AI35" s="22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1">
        <f>IF(SUM($G$5:$AD$5)=0,"",IFERROR(SUMPRODUCT(G36:AD36,$G$5:$AD$5)/SUMPRODUCT((G36:AD36&lt;&gt;"")*$G$5:$AD$5),""))</f>
        <v/>
      </c>
      <c r="AF36" s="22">
        <f>IF(AE36="","",RANK(AE36,$AE$7:$AE$36))</f>
        <v/>
      </c>
      <c r="AG36" s="22" t="n"/>
      <c r="AH36" s="22" t="n"/>
      <c r="AI36" s="22" t="n"/>
    </row>
  </sheetData>
  <mergeCells count="1">
    <mergeCell ref="A2:N2"/>
  </mergeCells>
  <dataValidations count="1">
    <dataValidation sqref="G7:AD36" showDropDown="0" showInputMessage="0" showErrorMessage="0" allowBlank="1" errorTitle="Nota inválida" error="Use um número inteiro de 1 a 5." type="whole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2026-10-02T00:20:01Z</dcterms:created>
  <dcterms:modified xsi:type="dcterms:W3CDTF">2026-10-03T17:56:30Z</dcterms:modified>
  <cp:lastModifiedBy>Pedro victor Neves Ferreira</cp:lastModifiedBy>
</cp:coreProperties>
</file>